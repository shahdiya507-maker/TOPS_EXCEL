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C8A2020E7177C1C5/Documents/DIA TOPS/EXCEL_ASSIGMENT/"/>
    </mc:Choice>
  </mc:AlternateContent>
  <xr:revisionPtr revIDLastSave="148" documentId="8_{3AAB0924-4434-4B8A-AB33-763E6582260D}" xr6:coauthVersionLast="47" xr6:coauthVersionMax="47" xr10:uidLastSave="{105A9508-8977-498C-ADBA-B6FDFC467D98}"/>
  <bookViews>
    <workbookView xWindow="-108" yWindow="-108" windowWidth="23256" windowHeight="12456" activeTab="2" xr2:uid="{00000000-000D-0000-FFFF-FFFF00000000}"/>
  </bookViews>
  <sheets>
    <sheet name="TASK-1-2-3" sheetId="1" r:id="rId1"/>
    <sheet name="TASK4" sheetId="4" r:id="rId2"/>
    <sheet name="TASK5" sheetId="5" r:id="rId3"/>
    <sheet name="Restaurant Details" sheetId="2" r:id="rId4"/>
    <sheet name="EXTRA" sheetId="6" r:id="rId5"/>
  </sheets>
  <definedNames>
    <definedName name="_xlnm._FilterDatabase" localSheetId="0" hidden="1">'TASK-1-2-3'!$D$1:$D$64</definedName>
    <definedName name="Slicer_City">#N/A</definedName>
  </definedNames>
  <calcPr calcId="191029"/>
  <pivotCaches>
    <pivotCache cacheId="2"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2" i="1"/>
  <c r="B3" i="5"/>
  <c r="B2" i="5"/>
</calcChain>
</file>

<file path=xl/sharedStrings.xml><?xml version="1.0" encoding="utf-8"?>
<sst xmlns="http://schemas.openxmlformats.org/spreadsheetml/2006/main" count="229" uniqueCount="100">
  <si>
    <t>Order ID</t>
  </si>
  <si>
    <t>Restaurant ID</t>
  </si>
  <si>
    <t>City</t>
  </si>
  <si>
    <t>Delivery Partner</t>
  </si>
  <si>
    <t>Delivery Date</t>
  </si>
  <si>
    <t>Delivery Time (mins)</t>
  </si>
  <si>
    <t>Delivery Charge (INR)</t>
  </si>
  <si>
    <t>ORD001</t>
  </si>
  <si>
    <t>Ahmedabad</t>
  </si>
  <si>
    <t>ORD002</t>
  </si>
  <si>
    <t>ORD003</t>
  </si>
  <si>
    <t>Rahul</t>
  </si>
  <si>
    <t>ORD004</t>
  </si>
  <si>
    <t>Bengaluru</t>
  </si>
  <si>
    <t>ORD005</t>
  </si>
  <si>
    <t>Pune</t>
  </si>
  <si>
    <t>Amit</t>
  </si>
  <si>
    <t>ORD006</t>
  </si>
  <si>
    <t>Mumbai</t>
  </si>
  <si>
    <t>ORD007</t>
  </si>
  <si>
    <t>Neha</t>
  </si>
  <si>
    <t>ORD008</t>
  </si>
  <si>
    <t>Delhi</t>
  </si>
  <si>
    <t>ORD009</t>
  </si>
  <si>
    <t>ORD010</t>
  </si>
  <si>
    <t>ORD011</t>
  </si>
  <si>
    <t>ORD012</t>
  </si>
  <si>
    <t>Priya</t>
  </si>
  <si>
    <t>ORD013</t>
  </si>
  <si>
    <t>ORD014</t>
  </si>
  <si>
    <t>Vikas</t>
  </si>
  <si>
    <t>ORD015</t>
  </si>
  <si>
    <t>ORD016</t>
  </si>
  <si>
    <t>ORD017</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</si>
  <si>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</si>
  <si>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</si>
  <si>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</si>
  <si>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</si>
  <si>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</si>
  <si>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</si>
  <si>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</si>
  <si>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</si>
  <si>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</si>
  <si>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</si>
  <si>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</si>
  <si>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</si>
  <si>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</si>
  <si>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</si>
  <si>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</si>
  <si>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</si>
  <si>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</si>
  <si>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</si>
  <si>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</si>
  <si>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</si>
  <si>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</si>
  <si>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</si>
  <si>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</si>
  <si>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</si>
  <si>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</si>
  <si>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</si>
  <si>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</si>
  <si>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</si>
  <si>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</si>
  <si>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</si>
  <si>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</si>
  <si>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</si>
  <si>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</si>
  <si>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</si>
  <si>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</si>
  <si>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</si>
  <si>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</si>
  <si>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</si>
  <si>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</si>
  <si>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</si>
  <si>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</si>
  <si>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</si>
  <si>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</si>
  <si>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Restaurant Name</t>
  </si>
  <si>
    <t>Burger King</t>
  </si>
  <si>
    <t>Domino's Pizza</t>
  </si>
  <si>
    <t>Subway</t>
  </si>
  <si>
    <t>Haldiram's</t>
  </si>
  <si>
    <t>McDonald's</t>
  </si>
  <si>
    <t>The Belgian Waffle Co.</t>
  </si>
  <si>
    <t>Biryani Blues</t>
  </si>
  <si>
    <t>Wow! Momo</t>
  </si>
  <si>
    <t>Cafe Coffee Day</t>
  </si>
  <si>
    <t>Pizza Hut</t>
  </si>
  <si>
    <t>Unassigned</t>
  </si>
  <si>
    <t>RESTAURANT NAME</t>
  </si>
  <si>
    <t>DAY OF WEEK</t>
  </si>
  <si>
    <t>Row Labels</t>
  </si>
  <si>
    <t>Grand Total</t>
  </si>
  <si>
    <t>Count of Order ID</t>
  </si>
  <si>
    <t>Sum of Delivery Charge (INR)</t>
  </si>
  <si>
    <t>TOTAL ORDERS</t>
  </si>
  <si>
    <t>AVERAGE DELIVERY TIME</t>
  </si>
  <si>
    <t>TOP RESTAURANTS BY ORDER</t>
  </si>
  <si>
    <t>FOOD DELIVERY DASHBOARD</t>
  </si>
  <si>
    <t>Average of Delivery Time (mins)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</si>
</sst>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 x14ac:knownFonts="1">
    <font>
      <sz val="11"/>
      <color theme="1"/>
      <name val="Calibri"/>
      <family val="2"/>
      <scheme val="minor"/>
    </font>
    <font>
      <b/>
      <sz val="11"/>
      <color theme="1"/>
      <name val="Calibri"/>
      <family val="2"/>
      <scheme val="minor"/>
    </font>
    <font>
      <b/>
      <u/>
      <sz val="20"/>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14" fontId="1" fillId="0" borderId="0" xfId="0" applyNumberFormat="1" applyFont="1"/>
    <xf numFmtId="14" fontId="0" fillId="0" borderId="0" xfId="0" applyNumberFormat="1"/>
    <xf numFmtId="164" fontId="1" fillId="0" borderId="0" xfId="0" applyNumberFormat="1" applyFont="1"/>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0" xfId="0" applyNumberFormat="1"/>
    <xf numFmtId="0" fontId="2"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[SESSION21.xlsx]TASK4!PivotTable1</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CITY WISE SUMMARY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TASK4!$B$3</c:f>
              <c:strCache>
                <c:ptCount val="1"/>
                <c:pt idx="0">
                  <c:v>Count of Order ID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TASK4!$A$4:$A$9</c:f>
              <c:strCache>
                <c:ptCount val="5"/>
                <c:pt idx="0">
                  <c:v>Ahmedabad</c:v>
                </c:pt>
                <c:pt idx="1">
                  <c:v>Bengaluru</c:v>
                </c:pt>
                <c:pt idx="2">
                  <c:v>Delhi</c:v>
                </c:pt>
                <c:pt idx="3">
                  <c:v>Mumbai</c:v>
                </c:pt>
                <c:pt idx="4">
                  <c:v>Pune</c:v>
                </c:pt>
              </c:strCache>
            </c:strRef>
          </c:cat>
          <c:val>
            <c:numRef>
              <c:f>TASK4!$B$4:$B$9</c:f>
              <c:numCache>
                <c:formatCode>General</c:formatCode>
                <c:ptCount val="5"/>
                <c:pt idx="0">
                  <c:v>17</c:v>
                </c:pt>
                <c:pt idx="1">
                  <c:v>15</c:v>
                </c:pt>
                <c:pt idx="2">
                  <c:v>7</c:v>
                </c:pt>
                <c:pt idx="3">
                  <c:v>12</c:v>
                </c:pt>
                <c:pt idx="4">
                  <c:v>9</c:v>
                </c:pt>
              </c:numCache>
            </c:numRef>
          </c:val>
          <c:extLst>
            <c:ext xmlns:c16="http://schemas.microsoft.com/office/drawing/2014/chart" uri="{C3380CC4-5D6E-409C-BE32-E72D297353CC}">
              <c16:uniqueId val="{00000000-8496-494D-B338-B47059AD0A64}"/>
            </c:ext>
          </c:extLst>
        </c:ser>
        <c:dLbls>
          <c:dLblPos val="outEnd"/>
          <c:showLegendKey val="0"/>
          <c:showVal val="1"/>
          <c:showCatName val="0"/>
          <c:showSerName val="0"/>
          <c:showPercent val="0"/>
          <c:showBubbleSize val="0"/>
        </c:dLbls>
        <c:gapWidth val="100"/>
        <c:axId val="119440127"/>
        <c:axId val="339822352"/>
      </c:barChart>
      <c:lineChart>
        <c:grouping val="standard"/>
        <c:varyColors val="0"/>
        <c:ser>
          <c:idx val="1"/>
          <c:order val="1"/>
          <c:tx>
            <c:strRef>
              <c:f>TASK4!$C$3</c:f>
              <c:strCache>
                <c:ptCount val="1"/>
                <c:pt idx="0">
                  <c:v>Sum of Delivery Charge (INR)</c:v>
                </c:pt>
              </c:strCache>
            </c:strRef>
          </c:tx>
          <c:spPr>
            <a:ln w="31750" cap="rnd">
              <a:solidFill>
                <a:schemeClr val="accent2"/>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TASK4!$A$4:$A$9</c:f>
              <c:strCache>
                <c:ptCount val="5"/>
                <c:pt idx="0">
                  <c:v>Ahmedabad</c:v>
                </c:pt>
                <c:pt idx="1">
                  <c:v>Bengaluru</c:v>
                </c:pt>
                <c:pt idx="2">
                  <c:v>Delhi</c:v>
                </c:pt>
                <c:pt idx="3">
                  <c:v>Mumbai</c:v>
                </c:pt>
                <c:pt idx="4">
                  <c:v>Pune</c:v>
                </c:pt>
              </c:strCache>
            </c:strRef>
          </c:cat>
          <c:val>
            <c:numRef>
              <c:f>TASK4!$C$4:$C$9</c:f>
              <c:numCache>
                <c:formatCode>"₹"\ #,##0.00</c:formatCode>
                <c:ptCount val="5"/>
                <c:pt idx="0">
                  <c:v>900</c:v>
                </c:pt>
                <c:pt idx="1">
                  <c:v>960</c:v>
                </c:pt>
                <c:pt idx="2">
                  <c:v>410</c:v>
                </c:pt>
                <c:pt idx="3">
                  <c:v>790</c:v>
                </c:pt>
                <c:pt idx="4">
                  <c:v>510</c:v>
                </c:pt>
              </c:numCache>
            </c:numRef>
          </c:val>
          <c:smooth val="0"/>
          <c:extLst>
            <c:ext xmlns:c16="http://schemas.microsoft.com/office/drawing/2014/chart" uri="{C3380CC4-5D6E-409C-BE32-E72D297353CC}">
              <c16:uniqueId val="{00000001-8496-494D-B338-B47059AD0A64}"/>
            </c:ext>
          </c:extLst>
        </c:ser>
        <c:dLbls>
          <c:showLegendKey val="0"/>
          <c:showVal val="0"/>
          <c:showCatName val="0"/>
          <c:showSerName val="0"/>
          <c:showPercent val="0"/>
          <c:showBubbleSize val="0"/>
        </c:dLbls>
        <c:marker val="1"/>
        <c:smooth val="0"/>
        <c:axId val="508119120"/>
        <c:axId val="273105520"/>
      </c:lineChart>
      <c:catAx>
        <c:axId val="50811912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73105520"/>
        <c:crosses val="autoZero"/>
        <c:auto val="1"/>
        <c:lblAlgn val="ctr"/>
        <c:lblOffset val="100"/>
        <c:noMultiLvlLbl val="0"/>
      </c:catAx>
      <c:valAx>
        <c:axId val="273105520"/>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08119120"/>
        <c:crosses val="autoZero"/>
        <c:crossBetween val="between"/>
      </c:valAx>
      <c:valAx>
        <c:axId val="33982235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9440127"/>
        <c:crosses val="max"/>
        <c:crossBetween val="between"/>
      </c:valAx>
      <c:catAx>
        <c:axId val="119440127"/>
        <c:scaling>
          <c:orientation val="minMax"/>
        </c:scaling>
        <c:delete val="1"/>
        <c:axPos val="b"/>
        <c:numFmt formatCode="General" sourceLinked="1"/>
        <c:majorTickMark val="out"/>
        <c:minorTickMark val="none"/>
        <c:tickLblPos val="nextTo"/>
        <c:crossAx val="3398223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[SESSION21.xlsx]TASK5!PivotTable3</c:name>
    <c:fmtId val="1"/>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TOP 3 RESTAURANTS BY SALES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TASK5!$D$8</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TASK5!$C$9:$C$13</c:f>
              <c:strCache>
                <c:ptCount val="4"/>
                <c:pt idx="0">
                  <c:v>Domino's Pizza</c:v>
                </c:pt>
                <c:pt idx="1">
                  <c:v>Haldiram's</c:v>
                </c:pt>
                <c:pt idx="2">
                  <c:v>Wow! Momo</c:v>
                </c:pt>
                <c:pt idx="3">
                  <c:v>The Belgian Waffle Co.</c:v>
                </c:pt>
              </c:strCache>
            </c:strRef>
          </c:cat>
          <c:val>
            <c:numRef>
              <c:f>TASK5!$D$9:$D$13</c:f>
              <c:numCache>
                <c:formatCode>General</c:formatCode>
                <c:ptCount val="4"/>
                <c:pt idx="0">
                  <c:v>5</c:v>
                </c:pt>
                <c:pt idx="1">
                  <c:v>3</c:v>
                </c:pt>
                <c:pt idx="2">
                  <c:v>2</c:v>
                </c:pt>
                <c:pt idx="3">
                  <c:v>2</c:v>
                </c:pt>
              </c:numCache>
            </c:numRef>
          </c:val>
          <c:extLst>
            <c:ext xmlns:c16="http://schemas.microsoft.com/office/drawing/2014/chart" uri="{C3380CC4-5D6E-409C-BE32-E72D297353CC}">
              <c16:uniqueId val="{00000000-D2D6-4462-A23A-41D5D6BDC08E}"/>
            </c:ext>
          </c:extLst>
        </c:ser>
        <c:dLbls>
          <c:dLblPos val="inEnd"/>
          <c:showLegendKey val="0"/>
          <c:showVal val="1"/>
          <c:showCatName val="0"/>
          <c:showSerName val="0"/>
          <c:showPercent val="0"/>
          <c:showBubbleSize val="0"/>
        </c:dLbls>
        <c:gapWidth val="41"/>
        <c:axId val="999231583"/>
        <c:axId val="837729839"/>
      </c:barChart>
      <c:catAx>
        <c:axId val="99923158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837729839"/>
        <c:crosses val="autoZero"/>
        <c:auto val="1"/>
        <c:lblAlgn val="ctr"/>
        <c:lblOffset val="100"/>
        <c:noMultiLvlLbl val="0"/>
      </c:catAx>
      <c:valAx>
        <c:axId val="83772983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99923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99060</xdr:colOff>
      <xdr:row>1</xdr:row>
      <xdr:rowOff>125730</xdr:rowOff>
    </xdr:from>
    <xdr:to>
      <xdr:col>11</xdr:col>
      <xdr:colOff>144780</xdr:colOff>
      <xdr:row>16</xdr:row>
      <xdr:rowOff>125730</xdr:rowOff>
    </xdr:to>
    <xdr:graphicFrame macro="">
      <xdr:nvGraphicFramePr>
        <xdr:cNvPr id="2" name="Chart 1">
          <a:extLst>
            <a:ext uri="{FF2B5EF4-FFF2-40B4-BE49-F238E27FC236}">
              <a16:creationId xmlns:a16="http://schemas.microsoft.com/office/drawing/2014/main" id="{8929F202-7EA4-3E89-EB69-F88454767C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373380</xdr:colOff>
      <xdr:row>11</xdr:row>
      <xdr:rowOff>99061</xdr:rowOff>
    </xdr:from>
    <xdr:to>
      <xdr:col>1</xdr:col>
      <xdr:colOff>1051560</xdr:colOff>
      <xdr:row>20</xdr:row>
      <xdr:rowOff>106681</xdr:rowOff>
    </xdr:to>
    <mc:AlternateContent xmlns:mc="http://schemas.openxmlformats.org/markup-compatibility/2006">
      <mc:Choice xmlns:a14="http://schemas.microsoft.com/office/drawing/2010/main" Requires="a14">
        <xdr:graphicFrame macro="">
          <xdr:nvGraphicFramePr>
            <xdr:cNvPr id="3" name="City 1">
              <a:extLst>
                <a:ext uri="{FF2B5EF4-FFF2-40B4-BE49-F238E27FC236}">
                  <a16:creationId xmlns:a16="http://schemas.microsoft.com/office/drawing/2014/main" id="{8F9B1885-A310-4864-9C81-FA5C1DB3BB0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373380" y="2255521"/>
              <a:ext cx="1828800" cy="1653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205740</xdr:colOff>
      <xdr:row>1</xdr:row>
      <xdr:rowOff>140970</xdr:rowOff>
    </xdr:from>
    <xdr:to>
      <xdr:col>10</xdr:col>
      <xdr:colOff>38100</xdr:colOff>
      <xdr:row>16</xdr:row>
      <xdr:rowOff>140970</xdr:rowOff>
    </xdr:to>
    <xdr:graphicFrame macro="">
      <xdr:nvGraphicFramePr>
        <xdr:cNvPr id="4" name="Chart 3">
          <a:extLst>
            <a:ext uri="{FF2B5EF4-FFF2-40B4-BE49-F238E27FC236}">
              <a16:creationId xmlns:a16="http://schemas.microsoft.com/office/drawing/2014/main" id="{C1CBC68C-C635-E7A5-1722-3AF3CB1B00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114300</xdr:colOff>
      <xdr:row>7</xdr:row>
      <xdr:rowOff>7620</xdr:rowOff>
    </xdr:from>
    <xdr:to>
      <xdr:col>9</xdr:col>
      <xdr:colOff>114300</xdr:colOff>
      <xdr:row>20</xdr:row>
      <xdr:rowOff>97155</xdr:rowOff>
    </xdr:to>
    <mc:AlternateContent xmlns:mc="http://schemas.openxmlformats.org/markup-compatibility/2006">
      <mc:Choice xmlns:a14="http://schemas.microsoft.com/office/drawing/2010/main" Requires="a14">
        <xdr:graphicFrame macro="">
          <xdr:nvGraphicFramePr>
            <xdr:cNvPr id="2" name="City">
              <a:extLst>
                <a:ext uri="{FF2B5EF4-FFF2-40B4-BE49-F238E27FC236}">
                  <a16:creationId xmlns:a16="http://schemas.microsoft.com/office/drawing/2014/main" id="{3C57109B-1090-F01D-D869-BB95EE20960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316980" y="1287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a Shah" refreshedDate="46267.504917708335" createdVersion="8" refreshedVersion="8" minRefreshableVersion="3" recordCount="60" xr:uid="{18F3F3F1-1AA1-4DD5-916A-64F95B1C37A9}">
  <cacheSource type="worksheet">
    <worksheetSource ref="A1:I61" sheet="TASK-1-2-3"/>
  </cacheSource>
  <cacheFields count="9">
    <cacheField name="Order ID" numFmtId="0">
      <sharedItems/>
    </cacheField>
    <cacheField name="Restaurant ID" numFmtId="0">
      <sharedItems containsSemiMixedTypes="0" containsString="0" containsNumber="1" containsInteger="1" minValue="101" maxValue="110"/>
    </cacheField>
    <cacheField name="City" numFmtId="0">
      <sharedItems count="5">
        <s v="Ahmedabad"/>
        <s v="Bengaluru"/>
        <s v="Pune"/>
        <s v="Mumbai"/>
        <s v="Delhi"/>
      </sharedItems>
    </cacheField>
    <cacheField name="Delivery Partner" numFmtId="0">
      <sharedItems/>
    </cacheField>
    <cacheField name="Delivery Date" numFmtId="14">
      <sharedItems containsSemiMixedTypes="0" containsNonDate="0" containsDate="1" containsString="0" minDate="2026-01-01T00:00:00" maxDate="2026-03-31T00:00:00"/>
    </cacheField>
    <cacheField name="Delivery Time (mins)" numFmtId="0">
      <sharedItems containsSemiMixedTypes="0" containsString="0" containsNumber="1" containsInteger="1" minValue="20" maxValue="63"/>
    </cacheField>
    <cacheField name="Delivery Charge (INR)" numFmtId="164">
      <sharedItems containsSemiMixedTypes="0" containsString="0" containsNumber="1" containsInteger="1" minValue="30" maxValue="80"/>
    </cacheField>
    <cacheField name="RESTAURANT NAME" numFmtId="164">
      <sharedItems count="10">
        <s v="Domino's Pizza"/>
        <s v="Subway"/>
        <s v="Biryani Blues"/>
        <s v="Cafe Coffee Day"/>
        <s v="Burger King"/>
        <s v="Wow! Momo"/>
        <s v="McDonald's"/>
        <s v="Haldiram's"/>
        <s v="The Belgian Waffle Co."/>
        <s v="Pizza Hut"/>
      </sharedItems>
    </cacheField>
    <cacheField name="DAY OF WEEK" numFmtId="164">
      <sharedItems/>
    </cacheField>
  </cacheFields>
  <extLst>
    <ext xmlns:x14="http://schemas.microsoft.com/office/spreadsheetml/2009/9/main" uri="{725AE2AE-9491-48be-B2B4-4EB974FC3084}">
      <x14:pivotCacheDefinition pivotCacheId="6812307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ORD001"/>
    <n v="102"/>
    <x v="0"/>
    <s v="Unassigned"/>
    <d v="2026-02-05T00:00:00"/>
    <n v="35"/>
    <n v="40"/>
    <x v="0"/>
    <s v="Thursday"/>
  </r>
  <r>
    <s v="ORD002"/>
    <n v="103"/>
    <x v="0"/>
    <s v="Unassigned"/>
    <d v="2026-03-11T00:00:00"/>
    <n v="25"/>
    <n v="70"/>
    <x v="1"/>
    <s v="Wednesday"/>
  </r>
  <r>
    <s v="ORD003"/>
    <n v="107"/>
    <x v="0"/>
    <s v="Rahul"/>
    <d v="2026-01-12T00:00:00"/>
    <n v="33"/>
    <n v="40"/>
    <x v="2"/>
    <s v="Monday"/>
  </r>
  <r>
    <s v="ORD004"/>
    <n v="109"/>
    <x v="1"/>
    <s v="Rahul"/>
    <d v="2026-03-13T00:00:00"/>
    <n v="32"/>
    <n v="80"/>
    <x v="3"/>
    <s v="Friday"/>
  </r>
  <r>
    <s v="ORD005"/>
    <n v="109"/>
    <x v="2"/>
    <s v="Amit"/>
    <d v="2026-02-27T00:00:00"/>
    <n v="57"/>
    <n v="50"/>
    <x v="3"/>
    <s v="Friday"/>
  </r>
  <r>
    <s v="ORD006"/>
    <n v="101"/>
    <x v="3"/>
    <s v="Unassigned"/>
    <d v="2026-02-24T00:00:00"/>
    <n v="41"/>
    <n v="50"/>
    <x v="4"/>
    <s v="Tuesday"/>
  </r>
  <r>
    <s v="ORD007"/>
    <n v="103"/>
    <x v="3"/>
    <s v="Neha"/>
    <d v="2026-01-14T00:00:00"/>
    <n v="25"/>
    <n v="60"/>
    <x v="1"/>
    <s v="Wednesday"/>
  </r>
  <r>
    <s v="ORD008"/>
    <n v="102"/>
    <x v="4"/>
    <s v="Neha"/>
    <d v="2026-03-19T00:00:00"/>
    <n v="36"/>
    <n v="30"/>
    <x v="0"/>
    <s v="Thursday"/>
  </r>
  <r>
    <s v="ORD009"/>
    <n v="108"/>
    <x v="1"/>
    <s v="Rahul"/>
    <d v="2026-02-18T00:00:00"/>
    <n v="25"/>
    <n v="70"/>
    <x v="5"/>
    <s v="Wednesday"/>
  </r>
  <r>
    <s v="ORD010"/>
    <n v="105"/>
    <x v="1"/>
    <s v="Neha"/>
    <d v="2026-03-15T00:00:00"/>
    <n v="32"/>
    <n v="80"/>
    <x v="6"/>
    <s v="Sunday"/>
  </r>
  <r>
    <s v="ORD011"/>
    <n v="102"/>
    <x v="0"/>
    <s v="Unassigned"/>
    <d v="2026-01-30T00:00:00"/>
    <n v="38"/>
    <n v="30"/>
    <x v="0"/>
    <s v="Friday"/>
  </r>
  <r>
    <s v="ORD012"/>
    <n v="104"/>
    <x v="0"/>
    <s v="Priya"/>
    <d v="2026-02-05T00:00:00"/>
    <n v="49"/>
    <n v="80"/>
    <x v="7"/>
    <s v="Thursday"/>
  </r>
  <r>
    <s v="ORD013"/>
    <n v="106"/>
    <x v="3"/>
    <s v="Neha"/>
    <d v="2026-02-15T00:00:00"/>
    <n v="33"/>
    <n v="80"/>
    <x v="8"/>
    <s v="Sunday"/>
  </r>
  <r>
    <s v="ORD014"/>
    <n v="105"/>
    <x v="0"/>
    <s v="Vikas"/>
    <d v="2026-03-23T00:00:00"/>
    <n v="30"/>
    <n v="70"/>
    <x v="6"/>
    <s v="Monday"/>
  </r>
  <r>
    <s v="ORD015"/>
    <n v="104"/>
    <x v="3"/>
    <s v="Priya"/>
    <d v="2026-02-18T00:00:00"/>
    <n v="37"/>
    <n v="80"/>
    <x v="7"/>
    <s v="Wednesday"/>
  </r>
  <r>
    <s v="ORD016"/>
    <n v="109"/>
    <x v="3"/>
    <s v="Unassigned"/>
    <d v="2026-02-11T00:00:00"/>
    <n v="23"/>
    <n v="40"/>
    <x v="3"/>
    <s v="Wednesday"/>
  </r>
  <r>
    <s v="ORD017"/>
    <n v="101"/>
    <x v="4"/>
    <s v="Priya"/>
    <d v="2026-02-04T00:00:00"/>
    <n v="24"/>
    <n v="40"/>
    <x v="4"/>
    <s v="Wednesday"/>
  </r>
  <r>
    <s v="ORD018"/>
    <n v="110"/>
    <x v="4"/>
    <s v="Amit"/>
    <d v="2026-03-25T00:00:00"/>
    <n v="51"/>
    <n v="60"/>
    <x v="9"/>
    <s v="Wednesday"/>
  </r>
  <r>
    <s v="ORD019"/>
    <n v="108"/>
    <x v="3"/>
    <s v="Neha"/>
    <d v="2026-01-18T00:00:00"/>
    <n v="35"/>
    <n v="80"/>
    <x v="5"/>
    <s v="Sunday"/>
  </r>
  <r>
    <s v="ORD020"/>
    <n v="109"/>
    <x v="1"/>
    <s v="Neha"/>
    <d v="2026-03-16T00:00:00"/>
    <n v="47"/>
    <n v="70"/>
    <x v="3"/>
    <s v="Monday"/>
  </r>
  <r>
    <s v="ORD021"/>
    <n v="107"/>
    <x v="4"/>
    <s v="Amit"/>
    <d v="2026-01-18T00:00:00"/>
    <n v="52"/>
    <n v="60"/>
    <x v="2"/>
    <s v="Sunday"/>
  </r>
  <r>
    <s v="ORD022"/>
    <n v="102"/>
    <x v="0"/>
    <s v="Rahul"/>
    <d v="2026-01-20T00:00:00"/>
    <n v="60"/>
    <n v="40"/>
    <x v="0"/>
    <s v="Tuesday"/>
  </r>
  <r>
    <s v="ORD023"/>
    <n v="107"/>
    <x v="1"/>
    <s v="Rahul"/>
    <d v="2026-02-19T00:00:00"/>
    <n v="44"/>
    <n v="70"/>
    <x v="2"/>
    <s v="Thursday"/>
  </r>
  <r>
    <s v="ORD024"/>
    <n v="108"/>
    <x v="1"/>
    <s v="Neha"/>
    <d v="2026-03-12T00:00:00"/>
    <n v="20"/>
    <n v="80"/>
    <x v="5"/>
    <s v="Thursday"/>
  </r>
  <r>
    <s v="ORD025"/>
    <n v="102"/>
    <x v="1"/>
    <s v="Neha"/>
    <d v="2026-03-24T00:00:00"/>
    <n v="41"/>
    <n v="30"/>
    <x v="0"/>
    <s v="Tuesday"/>
  </r>
  <r>
    <s v="ORD026"/>
    <n v="105"/>
    <x v="2"/>
    <s v="Amit"/>
    <d v="2026-02-28T00:00:00"/>
    <n v="20"/>
    <n v="80"/>
    <x v="6"/>
    <s v="Saturday"/>
  </r>
  <r>
    <s v="ORD027"/>
    <n v="105"/>
    <x v="1"/>
    <s v="Amit"/>
    <d v="2026-03-06T00:00:00"/>
    <n v="26"/>
    <n v="80"/>
    <x v="6"/>
    <s v="Friday"/>
  </r>
  <r>
    <s v="ORD028"/>
    <n v="105"/>
    <x v="1"/>
    <s v="Vikas"/>
    <d v="2026-01-26T00:00:00"/>
    <n v="29"/>
    <n v="50"/>
    <x v="6"/>
    <s v="Monday"/>
  </r>
  <r>
    <s v="ORD029"/>
    <n v="103"/>
    <x v="1"/>
    <s v="Vikas"/>
    <d v="2026-01-01T00:00:00"/>
    <n v="58"/>
    <n v="50"/>
    <x v="1"/>
    <s v="Thursday"/>
  </r>
  <r>
    <s v="ORD030"/>
    <n v="108"/>
    <x v="0"/>
    <s v="Rahul"/>
    <d v="2026-02-16T00:00:00"/>
    <n v="39"/>
    <n v="40"/>
    <x v="5"/>
    <s v="Monday"/>
  </r>
  <r>
    <s v="ORD031"/>
    <n v="101"/>
    <x v="3"/>
    <s v="Vikas"/>
    <d v="2026-01-11T00:00:00"/>
    <n v="25"/>
    <n v="80"/>
    <x v="4"/>
    <s v="Sunday"/>
  </r>
  <r>
    <s v="ORD032"/>
    <n v="108"/>
    <x v="0"/>
    <s v="Vikas"/>
    <d v="2026-01-17T00:00:00"/>
    <n v="28"/>
    <n v="80"/>
    <x v="5"/>
    <s v="Saturday"/>
  </r>
  <r>
    <s v="ORD033"/>
    <n v="108"/>
    <x v="1"/>
    <s v="Amit"/>
    <d v="2026-02-03T00:00:00"/>
    <n v="53"/>
    <n v="70"/>
    <x v="5"/>
    <s v="Tuesday"/>
  </r>
  <r>
    <s v="ORD034"/>
    <n v="107"/>
    <x v="3"/>
    <s v="Vikas"/>
    <d v="2026-03-30T00:00:00"/>
    <n v="32"/>
    <n v="80"/>
    <x v="2"/>
    <s v="Monday"/>
  </r>
  <r>
    <s v="ORD035"/>
    <n v="105"/>
    <x v="2"/>
    <s v="Unassigned"/>
    <d v="2026-03-25T00:00:00"/>
    <n v="43"/>
    <n v="60"/>
    <x v="6"/>
    <s v="Wednesday"/>
  </r>
  <r>
    <s v="ORD036"/>
    <n v="109"/>
    <x v="2"/>
    <s v="Rahul"/>
    <d v="2026-02-01T00:00:00"/>
    <n v="34"/>
    <n v="30"/>
    <x v="3"/>
    <s v="Sunday"/>
  </r>
  <r>
    <s v="ORD037"/>
    <n v="106"/>
    <x v="0"/>
    <s v="Vikas"/>
    <d v="2026-03-12T00:00:00"/>
    <n v="34"/>
    <n v="70"/>
    <x v="8"/>
    <s v="Thursday"/>
  </r>
  <r>
    <s v="ORD038"/>
    <n v="104"/>
    <x v="0"/>
    <s v="Rahul"/>
    <d v="2026-03-22T00:00:00"/>
    <n v="23"/>
    <n v="40"/>
    <x v="7"/>
    <s v="Sunday"/>
  </r>
  <r>
    <s v="ORD039"/>
    <n v="102"/>
    <x v="0"/>
    <s v="Neha"/>
    <d v="2026-01-10T00:00:00"/>
    <n v="52"/>
    <n v="40"/>
    <x v="0"/>
    <s v="Saturday"/>
  </r>
  <r>
    <s v="ORD040"/>
    <n v="105"/>
    <x v="2"/>
    <s v="Amit"/>
    <d v="2026-03-11T00:00:00"/>
    <n v="28"/>
    <n v="80"/>
    <x v="6"/>
    <s v="Wednesday"/>
  </r>
  <r>
    <s v="ORD041"/>
    <n v="110"/>
    <x v="1"/>
    <s v="Priya"/>
    <d v="2026-02-01T00:00:00"/>
    <n v="50"/>
    <n v="60"/>
    <x v="9"/>
    <s v="Sunday"/>
  </r>
  <r>
    <s v="ORD042"/>
    <n v="104"/>
    <x v="0"/>
    <s v="Rahul"/>
    <d v="2026-03-26T00:00:00"/>
    <n v="47"/>
    <n v="50"/>
    <x v="7"/>
    <s v="Thursday"/>
  </r>
  <r>
    <s v="ORD043"/>
    <n v="107"/>
    <x v="2"/>
    <s v="Priya"/>
    <d v="2026-01-07T00:00:00"/>
    <n v="63"/>
    <n v="80"/>
    <x v="2"/>
    <s v="Wednesday"/>
  </r>
  <r>
    <s v="ORD044"/>
    <n v="102"/>
    <x v="0"/>
    <s v="Priya"/>
    <d v="2026-02-13T00:00:00"/>
    <n v="26"/>
    <n v="40"/>
    <x v="0"/>
    <s v="Friday"/>
  </r>
  <r>
    <s v="ORD045"/>
    <n v="104"/>
    <x v="3"/>
    <s v="Vikas"/>
    <d v="2026-02-27T00:00:00"/>
    <n v="28"/>
    <n v="60"/>
    <x v="7"/>
    <s v="Friday"/>
  </r>
  <r>
    <s v="ORD046"/>
    <n v="103"/>
    <x v="4"/>
    <s v="Priya"/>
    <d v="2026-02-01T00:00:00"/>
    <n v="24"/>
    <n v="60"/>
    <x v="1"/>
    <s v="Sunday"/>
  </r>
  <r>
    <s v="ORD047"/>
    <n v="109"/>
    <x v="0"/>
    <s v="Rahul"/>
    <d v="2026-03-25T00:00:00"/>
    <n v="54"/>
    <n v="30"/>
    <x v="3"/>
    <s v="Wednesday"/>
  </r>
  <r>
    <s v="ORD048"/>
    <n v="102"/>
    <x v="3"/>
    <s v="Amit"/>
    <d v="2026-02-22T00:00:00"/>
    <n v="51"/>
    <n v="60"/>
    <x v="0"/>
    <s v="Sunday"/>
  </r>
  <r>
    <s v="ORD049"/>
    <n v="104"/>
    <x v="2"/>
    <s v="Rahul"/>
    <d v="2026-01-22T00:00:00"/>
    <n v="44"/>
    <n v="30"/>
    <x v="7"/>
    <s v="Thursday"/>
  </r>
  <r>
    <s v="ORD050"/>
    <n v="107"/>
    <x v="4"/>
    <s v="Priya"/>
    <d v="2026-02-06T00:00:00"/>
    <n v="47"/>
    <n v="80"/>
    <x v="2"/>
    <s v="Friday"/>
  </r>
  <r>
    <s v="ORD051"/>
    <n v="109"/>
    <x v="2"/>
    <s v="Amit"/>
    <d v="2026-01-25T00:00:00"/>
    <n v="38"/>
    <n v="40"/>
    <x v="3"/>
    <s v="Sunday"/>
  </r>
  <r>
    <s v="ORD052"/>
    <n v="101"/>
    <x v="1"/>
    <s v="Unassigned"/>
    <d v="2026-03-11T00:00:00"/>
    <n v="23"/>
    <n v="80"/>
    <x v="4"/>
    <s v="Wednesday"/>
  </r>
  <r>
    <s v="ORD053"/>
    <n v="106"/>
    <x v="0"/>
    <s v="Rahul"/>
    <d v="2026-03-16T00:00:00"/>
    <n v="50"/>
    <n v="70"/>
    <x v="8"/>
    <s v="Monday"/>
  </r>
  <r>
    <s v="ORD054"/>
    <n v="109"/>
    <x v="3"/>
    <s v="Rahul"/>
    <d v="2026-03-07T00:00:00"/>
    <n v="25"/>
    <n v="40"/>
    <x v="3"/>
    <s v="Saturday"/>
  </r>
  <r>
    <s v="ORD055"/>
    <n v="102"/>
    <x v="1"/>
    <s v="Rahul"/>
    <d v="2026-03-28T00:00:00"/>
    <n v="35"/>
    <n v="60"/>
    <x v="0"/>
    <s v="Saturday"/>
  </r>
  <r>
    <s v="ORD056"/>
    <n v="102"/>
    <x v="1"/>
    <s v="Amit"/>
    <d v="2026-03-16T00:00:00"/>
    <n v="58"/>
    <n v="30"/>
    <x v="0"/>
    <s v="Monday"/>
  </r>
  <r>
    <s v="ORD057"/>
    <n v="110"/>
    <x v="0"/>
    <s v="Priya"/>
    <d v="2026-03-26T00:00:00"/>
    <n v="57"/>
    <n v="70"/>
    <x v="9"/>
    <s v="Thursday"/>
  </r>
  <r>
    <s v="ORD058"/>
    <n v="109"/>
    <x v="4"/>
    <s v="Neha"/>
    <d v="2026-01-27T00:00:00"/>
    <n v="62"/>
    <n v="80"/>
    <x v="3"/>
    <s v="Tuesday"/>
  </r>
  <r>
    <s v="ORD059"/>
    <n v="106"/>
    <x v="3"/>
    <s v="Neha"/>
    <d v="2026-02-20T00:00:00"/>
    <n v="28"/>
    <n v="80"/>
    <x v="8"/>
    <s v="Friday"/>
  </r>
  <r>
    <s v="ORD060"/>
    <n v="105"/>
    <x v="2"/>
    <s v="Neha"/>
    <d v="2026-01-10T00:00:00"/>
    <n v="20"/>
    <n v="60"/>
    <x v="6"/>
    <s v="Satur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087857-10D5-411A-8692-4DC7DA1EDB8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9" firstHeaderRow="0" firstDataRow="1" firstDataCol="1"/>
  <pivotFields count="9">
    <pivotField dataField="1" showAll="0"/>
    <pivotField showAll="0"/>
    <pivotField axis="axisRow" showAll="0">
      <items count="6">
        <item x="0"/>
        <item x="1"/>
        <item x="4"/>
        <item x="3"/>
        <item x="2"/>
        <item t="default"/>
      </items>
    </pivotField>
    <pivotField showAll="0"/>
    <pivotField numFmtId="14" showAll="0"/>
    <pivotField showAll="0"/>
    <pivotField dataField="1" numFmtId="164" showAll="0"/>
    <pivotField showAll="0"/>
    <pivotField showAll="0"/>
  </pivotFields>
  <rowFields count="1">
    <field x="2"/>
  </rowFields>
  <rowItems count="6">
    <i>
      <x/>
    </i>
    <i>
      <x v="1"/>
    </i>
    <i>
      <x v="2"/>
    </i>
    <i>
      <x v="3"/>
    </i>
    <i>
      <x v="4"/>
    </i>
    <i t="grand">
      <x/>
    </i>
  </rowItems>
  <colFields count="1">
    <field x="-2"/>
  </colFields>
  <colItems count="2">
    <i>
      <x/>
    </i>
    <i i="1">
      <x v="1"/>
    </i>
  </colItems>
  <dataFields count="2">
    <dataField name="Count of Order ID" fld="0" subtotal="count" baseField="0" baseItem="0"/>
    <dataField name="Sum of Delivery Charge (INR)" fld="6" baseField="0" baseItem="0" numFmtId="164"/>
  </dataFields>
  <chartFormats count="6">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599AE0-D768-410D-99FF-8A80B1EDE4F4}"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8:D13" firstHeaderRow="1" firstDataRow="1" firstDataCol="1"/>
  <pivotFields count="9">
    <pivotField dataField="1" showAll="0"/>
    <pivotField showAll="0"/>
    <pivotField showAll="0">
      <items count="6">
        <item x="0"/>
        <item h="1" x="1"/>
        <item h="1" x="4"/>
        <item h="1" x="3"/>
        <item h="1" x="2"/>
        <item t="default"/>
      </items>
    </pivotField>
    <pivotField showAll="0"/>
    <pivotField numFmtId="14" showAll="0"/>
    <pivotField showAll="0"/>
    <pivotField numFmtId="164" showAll="0"/>
    <pivotField axis="axisRow" showAll="0" measureFilter="1" sortType="descending">
      <items count="11">
        <item x="2"/>
        <item x="4"/>
        <item x="3"/>
        <item x="0"/>
        <item x="7"/>
        <item x="6"/>
        <item x="9"/>
        <item x="1"/>
        <item x="8"/>
        <item x="5"/>
        <item t="default"/>
      </items>
      <autoSortScope>
        <pivotArea dataOnly="0" outline="0" fieldPosition="0">
          <references count="1">
            <reference field="4294967294" count="1" selected="0">
              <x v="0"/>
            </reference>
          </references>
        </pivotArea>
      </autoSortScope>
    </pivotField>
    <pivotField showAll="0"/>
  </pivotFields>
  <rowFields count="1">
    <field x="7"/>
  </rowFields>
  <rowItems count="5">
    <i>
      <x v="3"/>
    </i>
    <i>
      <x v="4"/>
    </i>
    <i>
      <x v="9"/>
    </i>
    <i>
      <x v="8"/>
    </i>
    <i t="grand">
      <x/>
    </i>
  </rowItems>
  <colItems count="1">
    <i/>
  </colItems>
  <dataFields count="1">
    <dataField name="Count of Order ID"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F2142B-CA5C-471D-B5C5-EF97B04BD5F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9">
    <pivotField dataField="1" showAll="0"/>
    <pivotField showAll="0"/>
    <pivotField showAll="0">
      <items count="6">
        <item x="0"/>
        <item h="1" x="1"/>
        <item h="1" x="4"/>
        <item h="1" x="3"/>
        <item h="1" x="2"/>
        <item t="default"/>
      </items>
    </pivotField>
    <pivotField showAll="0"/>
    <pivotField numFmtId="14" showAll="0"/>
    <pivotField dataField="1" showAll="0"/>
    <pivotField numFmtId="164" showAll="0"/>
    <pivotField axis="axisRow" showAll="0" measureFilter="1" sortType="descending">
      <items count="11">
        <item x="2"/>
        <item x="4"/>
        <item x="3"/>
        <item x="0"/>
        <item x="7"/>
        <item x="6"/>
        <item x="9"/>
        <item x="1"/>
        <item x="8"/>
        <item x="5"/>
        <item t="default"/>
      </items>
      <autoSortScope>
        <pivotArea dataOnly="0" outline="0" fieldPosition="0">
          <references count="1">
            <reference field="4294967294" count="1" selected="0">
              <x v="0"/>
            </reference>
          </references>
        </pivotArea>
      </autoSortScope>
    </pivotField>
    <pivotField showAll="0"/>
  </pivotFields>
  <rowFields count="1">
    <field x="7"/>
  </rowFields>
  <rowItems count="5">
    <i>
      <x v="3"/>
    </i>
    <i>
      <x v="4"/>
    </i>
    <i>
      <x v="9"/>
    </i>
    <i>
      <x v="8"/>
    </i>
    <i t="grand">
      <x/>
    </i>
  </rowItems>
  <colFields count="1">
    <field x="-2"/>
  </colFields>
  <colItems count="2">
    <i>
      <x/>
    </i>
    <i i="1">
      <x v="1"/>
    </i>
  </colItems>
  <dataFields count="2">
    <dataField name="Count of Order ID" fld="0" subtotal="count" baseField="0" baseItem="0"/>
    <dataField name="Average of Delivery Time (mins)" fld="5" subtotal="average" baseField="7" baseItem="9"/>
  </dataFields>
  <pivotTableStyleInfo name="PivotStyleLight16" showRowHeaders="1" showColHeaders="1" showRowStripes="0" showColStripes="0" showLastColumn="1"/>
  <filters count="1">
    <filter fld="7"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8C9A945-5E7C-4E38-9325-44F5997DC24A}" sourceName="City">
  <pivotTables>
    <pivotTable tabId="6" name="PivotTable1"/>
    <pivotTable tabId="5" name="PivotTable3"/>
  </pivotTables>
  <data>
    <tabular pivotCacheId="681230795">
      <items count="5">
        <i x="0" s="1"/>
        <i x="1"/>
        <i x="4"/>
        <i x="3"/>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6D8FFA19-7A0F-4C87-BD6F-CD5D2B003256}" cache="Slicer_City"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23C06FC7-CC64-4205-91D7-22BBA059DBB3}" cache="Slicer_City" caption="Cit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1"/>
  <sheetViews>
    <sheetView workbookViewId="0">
      <pane ySplit="1" topLeftCell="A37" activePane="bottomLeft" state="frozen"/>
      <selection pane="bottomLeft" activeCell="A41" sqref="A41"/>
    </sheetView>
  </sheetViews>
  <sheetFormatPr defaultRowHeight="14.4" x14ac:dyDescent="0.3"/>
  <cols>
    <col min="1" max="1" width="10" customWidth="1"/>
    <col min="2" max="2" width="15" customWidth="1"/>
    <col min="3" max="3" width="12.5546875" customWidth="1"/>
    <col min="4" max="4" width="18" customWidth="1"/>
    <col min="5" max="5" width="21" style="3" customWidth="1"/>
    <col min="6" max="6" width="22" customWidth="1"/>
    <col min="7" max="9" width="23" style="5" customWidth="1"/>
  </cols>
  <sheetData>
    <row r="1" spans="1:9" x14ac:dyDescent="0.3">
      <c r="A1" s="1" t="s">
        <v>0</v>
      </c>
      <c r="B1" s="1" t="s">
        <v>1</v>
      </c>
      <c r="C1" s="1" t="s">
        <v>2</v>
      </c>
      <c r="D1" s="1" t="s">
        <v>3</v>
      </c>
      <c r="E1" s="2" t="s">
        <v>4</v>
      </c>
      <c r="F1" s="1" t="s">
        <v>5</v>
      </c>
      <c r="G1" s="4" t="s">
        <v>6</v>
      </c>
      <c r="H1" s="4" t="s">
        <v>89</v>
      </c>
      <c r="I1" s="4" t="s">
        <v>90</v>
      </c>
    </row>
    <row r="2" spans="1:9" x14ac:dyDescent="0.3">
      <c r="A2" t="s">
        <v>7</v>
      </c>
      <c r="B2">
        <v>102</v>
      </c>
      <c r="C2" t="s">
        <v>8</v>
      </c>
      <c r="D2" t="s">
        <v>88</v>
      </c>
      <c r="E2" s="3">
        <v>46058</v>
      </c>
      <c r="F2">
        <v>35</v>
      </c>
      <c r="G2" s="5">
        <v>40</v>
      </c>
      <c r="H2" s="5" t="str">
        <f>_xlfn.XLOOKUP(B2,'Restaurant Details'!A:A,'Restaurant Details'!B:B)</f>
        <v>Domino's Pizza</v>
      </c>
      <c r="I2" s="5" t="str">
        <f>TEXT(E2,"dddd")</f>
        <v>Thursday</v>
      </c>
    </row>
    <row r="3" spans="1:9" x14ac:dyDescent="0.3">
      <c r="A3" t="s">
        <v>9</v>
      </c>
      <c r="B3">
        <v>103</v>
      </c>
      <c r="C3" t="s">
        <v>8</v>
      </c>
      <c r="D3" t="s">
        <v>88</v>
      </c>
      <c r="E3" s="3">
        <v>46092</v>
      </c>
      <c r="F3">
        <v>25</v>
      </c>
      <c r="G3" s="5">
        <v>70</v>
      </c>
      <c r="H3" s="5" t="str">
        <f>_xlfn.XLOOKUP(B3,'Restaurant Details'!A:A,'Restaurant Details'!B:B)</f>
        <v>Subway</v>
      </c>
      <c r="I3" s="5" t="str">
        <f t="shared" ref="I3:I61" si="0">TEXT(E3,"dddd")</f>
        <v>Wednesday</v>
      </c>
    </row>
    <row r="4" spans="1:9" x14ac:dyDescent="0.3">
      <c r="A4" t="s">
        <v>10</v>
      </c>
      <c r="B4">
        <v>107</v>
      </c>
      <c r="C4" t="s">
        <v>8</v>
      </c>
      <c r="D4" t="s">
        <v>11</v>
      </c>
      <c r="E4" s="3">
        <v>46034</v>
      </c>
      <c r="F4">
        <v>33</v>
      </c>
      <c r="G4" s="5">
        <v>40</v>
      </c>
      <c r="H4" s="5" t="str">
        <f>_xlfn.XLOOKUP(B4,'Restaurant Details'!A:A,'Restaurant Details'!B:B)</f>
        <v>Biryani Blues</v>
      </c>
      <c r="I4" s="5" t="str">
        <f t="shared" si="0"/>
        <v>Monday</v>
      </c>
    </row>
    <row r="5" spans="1:9" x14ac:dyDescent="0.3">
      <c r="A5" t="s">
        <v>12</v>
      </c>
      <c r="B5">
        <v>109</v>
      </c>
      <c r="C5" t="s">
        <v>13</v>
      </c>
      <c r="D5" t="s">
        <v>11</v>
      </c>
      <c r="E5" s="3">
        <v>46094</v>
      </c>
      <c r="F5">
        <v>32</v>
      </c>
      <c r="G5" s="5">
        <v>80</v>
      </c>
      <c r="H5" s="5" t="str">
        <f>_xlfn.XLOOKUP(B5,'Restaurant Details'!A:A,'Restaurant Details'!B:B)</f>
        <v>Cafe Coffee Day</v>
      </c>
      <c r="I5" s="5" t="str">
        <f t="shared" si="0"/>
        <v>Friday</v>
      </c>
    </row>
    <row r="6" spans="1:9" x14ac:dyDescent="0.3">
      <c r="A6" t="s">
        <v>14</v>
      </c>
      <c r="B6">
        <v>109</v>
      </c>
      <c r="C6" t="s">
        <v>15</v>
      </c>
      <c r="D6" t="s">
        <v>16</v>
      </c>
      <c r="E6" s="3">
        <v>46080</v>
      </c>
      <c r="F6">
        <v>57</v>
      </c>
      <c r="G6" s="5">
        <v>50</v>
      </c>
      <c r="H6" s="5" t="str">
        <f>_xlfn.XLOOKUP(B6,'Restaurant Details'!A:A,'Restaurant Details'!B:B)</f>
        <v>Cafe Coffee Day</v>
      </c>
      <c r="I6" s="5" t="str">
        <f t="shared" si="0"/>
        <v>Friday</v>
      </c>
    </row>
    <row r="7" spans="1:9" x14ac:dyDescent="0.3">
      <c r="A7" t="s">
        <v>17</v>
      </c>
      <c r="B7">
        <v>101</v>
      </c>
      <c r="C7" t="s">
        <v>18</v>
      </c>
      <c r="D7" t="s">
        <v>88</v>
      </c>
      <c r="E7" s="3">
        <v>46077</v>
      </c>
      <c r="F7">
        <v>41</v>
      </c>
      <c r="G7" s="5">
        <v>50</v>
      </c>
      <c r="H7" s="5" t="str">
        <f>_xlfn.XLOOKUP(B7,'Restaurant Details'!A:A,'Restaurant Details'!B:B)</f>
        <v>Burger King</v>
      </c>
      <c r="I7" s="5" t="str">
        <f t="shared" si="0"/>
        <v>Tuesday</v>
      </c>
    </row>
    <row r="8" spans="1:9" x14ac:dyDescent="0.3">
      <c r="A8" t="s">
        <v>19</v>
      </c>
      <c r="B8">
        <v>103</v>
      </c>
      <c r="C8" t="s">
        <v>18</v>
      </c>
      <c r="D8" t="s">
        <v>20</v>
      </c>
      <c r="E8" s="3">
        <v>46036</v>
      </c>
      <c r="F8">
        <v>25</v>
      </c>
      <c r="G8" s="5">
        <v>60</v>
      </c>
      <c r="H8" s="5" t="str">
        <f>_xlfn.XLOOKUP(B8,'Restaurant Details'!A:A,'Restaurant Details'!B:B)</f>
        <v>Subway</v>
      </c>
      <c r="I8" s="5" t="str">
        <f t="shared" si="0"/>
        <v>Wednesday</v>
      </c>
    </row>
    <row r="9" spans="1:9" x14ac:dyDescent="0.3">
      <c r="A9" t="s">
        <v>21</v>
      </c>
      <c r="B9">
        <v>102</v>
      </c>
      <c r="C9" t="s">
        <v>22</v>
      </c>
      <c r="D9" t="s">
        <v>20</v>
      </c>
      <c r="E9" s="3">
        <v>46100</v>
      </c>
      <c r="F9">
        <v>36</v>
      </c>
      <c r="G9" s="5">
        <v>30</v>
      </c>
      <c r="H9" s="5" t="str">
        <f>_xlfn.XLOOKUP(B9,'Restaurant Details'!A:A,'Restaurant Details'!B:B)</f>
        <v>Domino's Pizza</v>
      </c>
      <c r="I9" s="5" t="str">
        <f t="shared" si="0"/>
        <v>Thursday</v>
      </c>
    </row>
    <row r="10" spans="1:9" x14ac:dyDescent="0.3">
      <c r="A10" t="s">
        <v>23</v>
      </c>
      <c r="B10">
        <v>108</v>
      </c>
      <c r="C10" t="s">
        <v>13</v>
      </c>
      <c r="D10" t="s">
        <v>11</v>
      </c>
      <c r="E10" s="3">
        <v>46071</v>
      </c>
      <c r="F10">
        <v>25</v>
      </c>
      <c r="G10" s="5">
        <v>70</v>
      </c>
      <c r="H10" s="5" t="str">
        <f>_xlfn.XLOOKUP(B10,'Restaurant Details'!A:A,'Restaurant Details'!B:B)</f>
        <v>Wow! Momo</v>
      </c>
      <c r="I10" s="5" t="str">
        <f t="shared" si="0"/>
        <v>Wednesday</v>
      </c>
    </row>
    <row r="11" spans="1:9" x14ac:dyDescent="0.3">
      <c r="A11" t="s">
        <v>24</v>
      </c>
      <c r="B11">
        <v>105</v>
      </c>
      <c r="C11" t="s">
        <v>13</v>
      </c>
      <c r="D11" t="s">
        <v>20</v>
      </c>
      <c r="E11" s="3">
        <v>46096</v>
      </c>
      <c r="F11">
        <v>32</v>
      </c>
      <c r="G11" s="5">
        <v>80</v>
      </c>
      <c r="H11" s="5" t="str">
        <f>_xlfn.XLOOKUP(B11,'Restaurant Details'!A:A,'Restaurant Details'!B:B)</f>
        <v>McDonald's</v>
      </c>
      <c r="I11" s="5" t="str">
        <f t="shared" si="0"/>
        <v>Sunday</v>
      </c>
    </row>
    <row r="12" spans="1:9" x14ac:dyDescent="0.3">
      <c r="A12" t="s">
        <v>25</v>
      </c>
      <c r="B12">
        <v>102</v>
      </c>
      <c r="C12" t="s">
        <v>8</v>
      </c>
      <c r="D12" t="s">
        <v>88</v>
      </c>
      <c r="E12" s="3">
        <v>46052</v>
      </c>
      <c r="F12">
        <v>38</v>
      </c>
      <c r="G12" s="5">
        <v>30</v>
      </c>
      <c r="H12" s="5" t="str">
        <f>_xlfn.XLOOKUP(B12,'Restaurant Details'!A:A,'Restaurant Details'!B:B)</f>
        <v>Domino's Pizza</v>
      </c>
      <c r="I12" s="5" t="str">
        <f t="shared" si="0"/>
        <v>Friday</v>
      </c>
    </row>
    <row r="13" spans="1:9" x14ac:dyDescent="0.3">
      <c r="A13" t="s">
        <v>26</v>
      </c>
      <c r="B13">
        <v>104</v>
      </c>
      <c r="C13" t="s">
        <v>8</v>
      </c>
      <c r="D13" t="s">
        <v>27</v>
      </c>
      <c r="E13" s="3">
        <v>46058</v>
      </c>
      <c r="F13">
        <v>49</v>
      </c>
      <c r="G13" s="5">
        <v>80</v>
      </c>
      <c r="H13" s="5" t="str">
        <f>_xlfn.XLOOKUP(B13,'Restaurant Details'!A:A,'Restaurant Details'!B:B)</f>
        <v>Haldiram's</v>
      </c>
      <c r="I13" s="5" t="str">
        <f t="shared" si="0"/>
        <v>Thursday</v>
      </c>
    </row>
    <row r="14" spans="1:9" x14ac:dyDescent="0.3">
      <c r="A14" t="s">
        <v>28</v>
      </c>
      <c r="B14">
        <v>106</v>
      </c>
      <c r="C14" t="s">
        <v>18</v>
      </c>
      <c r="D14" t="s">
        <v>20</v>
      </c>
      <c r="E14" s="3">
        <v>46068</v>
      </c>
      <c r="F14">
        <v>33</v>
      </c>
      <c r="G14" s="5">
        <v>80</v>
      </c>
      <c r="H14" s="5" t="str">
        <f>_xlfn.XLOOKUP(B14,'Restaurant Details'!A:A,'Restaurant Details'!B:B)</f>
        <v>The Belgian Waffle Co.</v>
      </c>
      <c r="I14" s="5" t="str">
        <f t="shared" si="0"/>
        <v>Sunday</v>
      </c>
    </row>
    <row r="15" spans="1:9" x14ac:dyDescent="0.3">
      <c r="A15" t="s">
        <v>29</v>
      </c>
      <c r="B15">
        <v>105</v>
      </c>
      <c r="C15" t="s">
        <v>8</v>
      </c>
      <c r="D15" t="s">
        <v>30</v>
      </c>
      <c r="E15" s="3">
        <v>46104</v>
      </c>
      <c r="F15">
        <v>30</v>
      </c>
      <c r="G15" s="5">
        <v>70</v>
      </c>
      <c r="H15" s="5" t="str">
        <f>_xlfn.XLOOKUP(B15,'Restaurant Details'!A:A,'Restaurant Details'!B:B)</f>
        <v>McDonald's</v>
      </c>
      <c r="I15" s="5" t="str">
        <f t="shared" si="0"/>
        <v>Monday</v>
      </c>
    </row>
    <row r="16" spans="1:9" x14ac:dyDescent="0.3">
      <c r="A16" t="s">
        <v>31</v>
      </c>
      <c r="B16">
        <v>104</v>
      </c>
      <c r="C16" t="s">
        <v>18</v>
      </c>
      <c r="D16" t="s">
        <v>27</v>
      </c>
      <c r="E16" s="3">
        <v>46071</v>
      </c>
      <c r="F16">
        <v>37</v>
      </c>
      <c r="G16" s="5">
        <v>80</v>
      </c>
      <c r="H16" s="5" t="str">
        <f>_xlfn.XLOOKUP(B16,'Restaurant Details'!A:A,'Restaurant Details'!B:B)</f>
        <v>Haldiram's</v>
      </c>
      <c r="I16" s="5" t="str">
        <f t="shared" si="0"/>
        <v>Wednesday</v>
      </c>
    </row>
    <row r="17" spans="1:9" x14ac:dyDescent="0.3">
      <c r="A17" t="s">
        <v>32</v>
      </c>
      <c r="B17">
        <v>109</v>
      </c>
      <c r="C17" t="s">
        <v>18</v>
      </c>
      <c r="D17" t="s">
        <v>88</v>
      </c>
      <c r="E17" s="3">
        <v>46064</v>
      </c>
      <c r="F17">
        <v>23</v>
      </c>
      <c r="G17" s="5">
        <v>40</v>
      </c>
      <c r="H17" s="5" t="str">
        <f>_xlfn.XLOOKUP(B17,'Restaurant Details'!A:A,'Restaurant Details'!B:B)</f>
        <v>Cafe Coffee Day</v>
      </c>
      <c r="I17" s="5" t="str">
        <f t="shared" si="0"/>
        <v>Wednesday</v>
      </c>
    </row>
    <row r="18" spans="1:9" x14ac:dyDescent="0.3">
      <c r="A18" t="s">
        <v>33</v>
      </c>
      <c r="B18">
        <v>101</v>
      </c>
      <c r="C18" t="s">
        <v>22</v>
      </c>
      <c r="D18" t="s">
        <v>27</v>
      </c>
      <c r="E18" s="3">
        <v>46057</v>
      </c>
      <c r="F18">
        <v>24</v>
      </c>
      <c r="G18" s="5">
        <v>40</v>
      </c>
      <c r="H18" s="5" t="str">
        <f>_xlfn.XLOOKUP(B18,'Restaurant Details'!A:A,'Restaurant Details'!B:B)</f>
        <v>Burger King</v>
      </c>
      <c r="I18" s="5" t="str">
        <f t="shared" si="0"/>
        <v>Wednesday</v>
      </c>
    </row>
    <row r="19" spans="1:9" x14ac:dyDescent="0.3">
      <c r="A19" t="s">
        <v>34</v>
      </c>
      <c r="B19">
        <v>110</v>
      </c>
      <c r="C19" t="s">
        <v>22</v>
      </c>
      <c r="D19" t="s">
        <v>16</v>
      </c>
      <c r="E19" s="3">
        <v>46106</v>
      </c>
      <c r="F19">
        <v>51</v>
      </c>
      <c r="G19" s="5">
        <v>60</v>
      </c>
      <c r="H19" s="5" t="str">
        <f>_xlfn.XLOOKUP(B19,'Restaurant Details'!A:A,'Restaurant Details'!B:B)</f>
        <v>Pizza Hut</v>
      </c>
      <c r="I19" s="5" t="str">
        <f t="shared" si="0"/>
        <v>Wednesday</v>
      </c>
    </row>
    <row r="20" spans="1:9" x14ac:dyDescent="0.3">
      <c r="A20" t="s">
        <v>35</v>
      </c>
      <c r="B20">
        <v>108</v>
      </c>
      <c r="C20" t="s">
        <v>18</v>
      </c>
      <c r="D20" t="s">
        <v>20</v>
      </c>
      <c r="E20" s="3">
        <v>46040</v>
      </c>
      <c r="F20">
        <v>35</v>
      </c>
      <c r="G20" s="5">
        <v>80</v>
      </c>
      <c r="H20" s="5" t="str">
        <f>_xlfn.XLOOKUP(B20,'Restaurant Details'!A:A,'Restaurant Details'!B:B)</f>
        <v>Wow! Momo</v>
      </c>
      <c r="I20" s="5" t="str">
        <f t="shared" si="0"/>
        <v>Sunday</v>
      </c>
    </row>
    <row r="21" spans="1:9" x14ac:dyDescent="0.3">
      <c r="A21" t="s">
        <v>36</v>
      </c>
      <c r="B21">
        <v>109</v>
      </c>
      <c r="C21" t="s">
        <v>13</v>
      </c>
      <c r="D21" t="s">
        <v>20</v>
      </c>
      <c r="E21" s="3">
        <v>46097</v>
      </c>
      <c r="F21">
        <v>47</v>
      </c>
      <c r="G21" s="5">
        <v>70</v>
      </c>
      <c r="H21" s="5" t="str">
        <f>_xlfn.XLOOKUP(B21,'Restaurant Details'!A:A,'Restaurant Details'!B:B)</f>
        <v>Cafe Coffee Day</v>
      </c>
      <c r="I21" s="5" t="str">
        <f t="shared" si="0"/>
        <v>Monday</v>
      </c>
    </row>
    <row r="22" spans="1:9" x14ac:dyDescent="0.3">
      <c r="A22" t="s">
        <v>37</v>
      </c>
      <c r="B22">
        <v>107</v>
      </c>
      <c r="C22" t="s">
        <v>22</v>
      </c>
      <c r="D22" t="s">
        <v>16</v>
      </c>
      <c r="E22" s="3">
        <v>46040</v>
      </c>
      <c r="F22">
        <v>52</v>
      </c>
      <c r="G22" s="5">
        <v>60</v>
      </c>
      <c r="H22" s="5" t="str">
        <f>_xlfn.XLOOKUP(B22,'Restaurant Details'!A:A,'Restaurant Details'!B:B)</f>
        <v>Biryani Blues</v>
      </c>
      <c r="I22" s="5" t="str">
        <f t="shared" si="0"/>
        <v>Sunday</v>
      </c>
    </row>
    <row r="23" spans="1:9" x14ac:dyDescent="0.3">
      <c r="A23" t="s">
        <v>38</v>
      </c>
      <c r="B23">
        <v>102</v>
      </c>
      <c r="C23" t="s">
        <v>8</v>
      </c>
      <c r="D23" t="s">
        <v>11</v>
      </c>
      <c r="E23" s="3">
        <v>46042</v>
      </c>
      <c r="F23">
        <v>60</v>
      </c>
      <c r="G23" s="5">
        <v>40</v>
      </c>
      <c r="H23" s="5" t="str">
        <f>_xlfn.XLOOKUP(B23,'Restaurant Details'!A:A,'Restaurant Details'!B:B)</f>
        <v>Domino's Pizza</v>
      </c>
      <c r="I23" s="5" t="str">
        <f t="shared" si="0"/>
        <v>Tuesday</v>
      </c>
    </row>
    <row r="24" spans="1:9" x14ac:dyDescent="0.3">
      <c r="A24" t="s">
        <v>39</v>
      </c>
      <c r="B24">
        <v>107</v>
      </c>
      <c r="C24" t="s">
        <v>13</v>
      </c>
      <c r="D24" t="s">
        <v>11</v>
      </c>
      <c r="E24" s="3">
        <v>46072</v>
      </c>
      <c r="F24">
        <v>44</v>
      </c>
      <c r="G24" s="5">
        <v>70</v>
      </c>
      <c r="H24" s="5" t="str">
        <f>_xlfn.XLOOKUP(B24,'Restaurant Details'!A:A,'Restaurant Details'!B:B)</f>
        <v>Biryani Blues</v>
      </c>
      <c r="I24" s="5" t="str">
        <f t="shared" si="0"/>
        <v>Thursday</v>
      </c>
    </row>
    <row r="25" spans="1:9" x14ac:dyDescent="0.3">
      <c r="A25" t="s">
        <v>40</v>
      </c>
      <c r="B25">
        <v>108</v>
      </c>
      <c r="C25" t="s">
        <v>13</v>
      </c>
      <c r="D25" t="s">
        <v>20</v>
      </c>
      <c r="E25" s="3">
        <v>46093</v>
      </c>
      <c r="F25">
        <v>20</v>
      </c>
      <c r="G25" s="5">
        <v>80</v>
      </c>
      <c r="H25" s="5" t="str">
        <f>_xlfn.XLOOKUP(B25,'Restaurant Details'!A:A,'Restaurant Details'!B:B)</f>
        <v>Wow! Momo</v>
      </c>
      <c r="I25" s="5" t="str">
        <f t="shared" si="0"/>
        <v>Thursday</v>
      </c>
    </row>
    <row r="26" spans="1:9" x14ac:dyDescent="0.3">
      <c r="A26" t="s">
        <v>41</v>
      </c>
      <c r="B26">
        <v>102</v>
      </c>
      <c r="C26" t="s">
        <v>13</v>
      </c>
      <c r="D26" t="s">
        <v>20</v>
      </c>
      <c r="E26" s="3">
        <v>46105</v>
      </c>
      <c r="F26">
        <v>41</v>
      </c>
      <c r="G26" s="5">
        <v>30</v>
      </c>
      <c r="H26" s="5" t="str">
        <f>_xlfn.XLOOKUP(B26,'Restaurant Details'!A:A,'Restaurant Details'!B:B)</f>
        <v>Domino's Pizza</v>
      </c>
      <c r="I26" s="5" t="str">
        <f t="shared" si="0"/>
        <v>Tuesday</v>
      </c>
    </row>
    <row r="27" spans="1:9" x14ac:dyDescent="0.3">
      <c r="A27" t="s">
        <v>42</v>
      </c>
      <c r="B27">
        <v>105</v>
      </c>
      <c r="C27" t="s">
        <v>15</v>
      </c>
      <c r="D27" t="s">
        <v>16</v>
      </c>
      <c r="E27" s="3">
        <v>46081</v>
      </c>
      <c r="F27">
        <v>20</v>
      </c>
      <c r="G27" s="5">
        <v>80</v>
      </c>
      <c r="H27" s="5" t="str">
        <f>_xlfn.XLOOKUP(B27,'Restaurant Details'!A:A,'Restaurant Details'!B:B)</f>
        <v>McDonald's</v>
      </c>
      <c r="I27" s="5" t="str">
        <f t="shared" si="0"/>
        <v>Saturday</v>
      </c>
    </row>
    <row r="28" spans="1:9" x14ac:dyDescent="0.3">
      <c r="A28" t="s">
        <v>43</v>
      </c>
      <c r="B28">
        <v>105</v>
      </c>
      <c r="C28" t="s">
        <v>13</v>
      </c>
      <c r="D28" t="s">
        <v>16</v>
      </c>
      <c r="E28" s="3">
        <v>46087</v>
      </c>
      <c r="F28">
        <v>26</v>
      </c>
      <c r="G28" s="5">
        <v>80</v>
      </c>
      <c r="H28" s="5" t="str">
        <f>_xlfn.XLOOKUP(B28,'Restaurant Details'!A:A,'Restaurant Details'!B:B)</f>
        <v>McDonald's</v>
      </c>
      <c r="I28" s="5" t="str">
        <f t="shared" si="0"/>
        <v>Friday</v>
      </c>
    </row>
    <row r="29" spans="1:9" x14ac:dyDescent="0.3">
      <c r="A29" t="s">
        <v>44</v>
      </c>
      <c r="B29">
        <v>105</v>
      </c>
      <c r="C29" t="s">
        <v>13</v>
      </c>
      <c r="D29" t="s">
        <v>30</v>
      </c>
      <c r="E29" s="3">
        <v>46048</v>
      </c>
      <c r="F29">
        <v>29</v>
      </c>
      <c r="G29" s="5">
        <v>50</v>
      </c>
      <c r="H29" s="5" t="str">
        <f>_xlfn.XLOOKUP(B29,'Restaurant Details'!A:A,'Restaurant Details'!B:B)</f>
        <v>McDonald's</v>
      </c>
      <c r="I29" s="5" t="str">
        <f t="shared" si="0"/>
        <v>Monday</v>
      </c>
    </row>
    <row r="30" spans="1:9" x14ac:dyDescent="0.3">
      <c r="A30" t="s">
        <v>45</v>
      </c>
      <c r="B30">
        <v>103</v>
      </c>
      <c r="C30" t="s">
        <v>13</v>
      </c>
      <c r="D30" t="s">
        <v>30</v>
      </c>
      <c r="E30" s="3">
        <v>46023</v>
      </c>
      <c r="F30">
        <v>58</v>
      </c>
      <c r="G30" s="5">
        <v>50</v>
      </c>
      <c r="H30" s="5" t="str">
        <f>_xlfn.XLOOKUP(B30,'Restaurant Details'!A:A,'Restaurant Details'!B:B)</f>
        <v>Subway</v>
      </c>
      <c r="I30" s="5" t="str">
        <f t="shared" si="0"/>
        <v>Thursday</v>
      </c>
    </row>
    <row r="31" spans="1:9" x14ac:dyDescent="0.3">
      <c r="A31" t="s">
        <v>46</v>
      </c>
      <c r="B31">
        <v>108</v>
      </c>
      <c r="C31" t="s">
        <v>8</v>
      </c>
      <c r="D31" t="s">
        <v>11</v>
      </c>
      <c r="E31" s="3">
        <v>46069</v>
      </c>
      <c r="F31">
        <v>39</v>
      </c>
      <c r="G31" s="5">
        <v>40</v>
      </c>
      <c r="H31" s="5" t="str">
        <f>_xlfn.XLOOKUP(B31,'Restaurant Details'!A:A,'Restaurant Details'!B:B)</f>
        <v>Wow! Momo</v>
      </c>
      <c r="I31" s="5" t="str">
        <f t="shared" si="0"/>
        <v>Monday</v>
      </c>
    </row>
    <row r="32" spans="1:9" x14ac:dyDescent="0.3">
      <c r="A32" t="s">
        <v>47</v>
      </c>
      <c r="B32">
        <v>101</v>
      </c>
      <c r="C32" t="s">
        <v>18</v>
      </c>
      <c r="D32" t="s">
        <v>30</v>
      </c>
      <c r="E32" s="3">
        <v>46033</v>
      </c>
      <c r="F32">
        <v>25</v>
      </c>
      <c r="G32" s="5">
        <v>80</v>
      </c>
      <c r="H32" s="5" t="str">
        <f>_xlfn.XLOOKUP(B32,'Restaurant Details'!A:A,'Restaurant Details'!B:B)</f>
        <v>Burger King</v>
      </c>
      <c r="I32" s="5" t="str">
        <f t="shared" si="0"/>
        <v>Sunday</v>
      </c>
    </row>
    <row r="33" spans="1:9" x14ac:dyDescent="0.3">
      <c r="A33" t="s">
        <v>48</v>
      </c>
      <c r="B33">
        <v>108</v>
      </c>
      <c r="C33" t="s">
        <v>8</v>
      </c>
      <c r="D33" t="s">
        <v>30</v>
      </c>
      <c r="E33" s="3">
        <v>46039</v>
      </c>
      <c r="F33">
        <v>28</v>
      </c>
      <c r="G33" s="5">
        <v>80</v>
      </c>
      <c r="H33" s="5" t="str">
        <f>_xlfn.XLOOKUP(B33,'Restaurant Details'!A:A,'Restaurant Details'!B:B)</f>
        <v>Wow! Momo</v>
      </c>
      <c r="I33" s="5" t="str">
        <f t="shared" si="0"/>
        <v>Saturday</v>
      </c>
    </row>
    <row r="34" spans="1:9" x14ac:dyDescent="0.3">
      <c r="A34" t="s">
        <v>49</v>
      </c>
      <c r="B34">
        <v>108</v>
      </c>
      <c r="C34" t="s">
        <v>13</v>
      </c>
      <c r="D34" t="s">
        <v>16</v>
      </c>
      <c r="E34" s="3">
        <v>46056</v>
      </c>
      <c r="F34">
        <v>53</v>
      </c>
      <c r="G34" s="5">
        <v>70</v>
      </c>
      <c r="H34" s="5" t="str">
        <f>_xlfn.XLOOKUP(B34,'Restaurant Details'!A:A,'Restaurant Details'!B:B)</f>
        <v>Wow! Momo</v>
      </c>
      <c r="I34" s="5" t="str">
        <f t="shared" si="0"/>
        <v>Tuesday</v>
      </c>
    </row>
    <row r="35" spans="1:9" x14ac:dyDescent="0.3">
      <c r="A35" t="s">
        <v>50</v>
      </c>
      <c r="B35">
        <v>107</v>
      </c>
      <c r="C35" t="s">
        <v>18</v>
      </c>
      <c r="D35" t="s">
        <v>30</v>
      </c>
      <c r="E35" s="3">
        <v>46111</v>
      </c>
      <c r="F35">
        <v>32</v>
      </c>
      <c r="G35" s="5">
        <v>80</v>
      </c>
      <c r="H35" s="5" t="str">
        <f>_xlfn.XLOOKUP(B35,'Restaurant Details'!A:A,'Restaurant Details'!B:B)</f>
        <v>Biryani Blues</v>
      </c>
      <c r="I35" s="5" t="str">
        <f t="shared" si="0"/>
        <v>Monday</v>
      </c>
    </row>
    <row r="36" spans="1:9" x14ac:dyDescent="0.3">
      <c r="A36" t="s">
        <v>51</v>
      </c>
      <c r="B36">
        <v>105</v>
      </c>
      <c r="C36" t="s">
        <v>15</v>
      </c>
      <c r="D36" t="s">
        <v>88</v>
      </c>
      <c r="E36" s="3">
        <v>46106</v>
      </c>
      <c r="F36">
        <v>43</v>
      </c>
      <c r="G36" s="5">
        <v>60</v>
      </c>
      <c r="H36" s="5" t="str">
        <f>_xlfn.XLOOKUP(B36,'Restaurant Details'!A:A,'Restaurant Details'!B:B)</f>
        <v>McDonald's</v>
      </c>
      <c r="I36" s="5" t="str">
        <f t="shared" si="0"/>
        <v>Wednesday</v>
      </c>
    </row>
    <row r="37" spans="1:9" x14ac:dyDescent="0.3">
      <c r="A37" t="s">
        <v>52</v>
      </c>
      <c r="B37">
        <v>109</v>
      </c>
      <c r="C37" t="s">
        <v>15</v>
      </c>
      <c r="D37" t="s">
        <v>11</v>
      </c>
      <c r="E37" s="3">
        <v>46054</v>
      </c>
      <c r="F37">
        <v>34</v>
      </c>
      <c r="G37" s="5">
        <v>30</v>
      </c>
      <c r="H37" s="5" t="str">
        <f>_xlfn.XLOOKUP(B37,'Restaurant Details'!A:A,'Restaurant Details'!B:B)</f>
        <v>Cafe Coffee Day</v>
      </c>
      <c r="I37" s="5" t="str">
        <f t="shared" si="0"/>
        <v>Sunday</v>
      </c>
    </row>
    <row r="38" spans="1:9" x14ac:dyDescent="0.3">
      <c r="A38" t="s">
        <v>53</v>
      </c>
      <c r="B38">
        <v>106</v>
      </c>
      <c r="C38" t="s">
        <v>8</v>
      </c>
      <c r="D38" t="s">
        <v>30</v>
      </c>
      <c r="E38" s="3">
        <v>46093</v>
      </c>
      <c r="F38">
        <v>34</v>
      </c>
      <c r="G38" s="5">
        <v>70</v>
      </c>
      <c r="H38" s="5" t="str">
        <f>_xlfn.XLOOKUP(B38,'Restaurant Details'!A:A,'Restaurant Details'!B:B)</f>
        <v>The Belgian Waffle Co.</v>
      </c>
      <c r="I38" s="5" t="str">
        <f t="shared" si="0"/>
        <v>Thursday</v>
      </c>
    </row>
    <row r="39" spans="1:9" x14ac:dyDescent="0.3">
      <c r="A39" t="s">
        <v>54</v>
      </c>
      <c r="B39">
        <v>104</v>
      </c>
      <c r="C39" t="s">
        <v>8</v>
      </c>
      <c r="D39" t="s">
        <v>11</v>
      </c>
      <c r="E39" s="3">
        <v>46103</v>
      </c>
      <c r="F39">
        <v>23</v>
      </c>
      <c r="G39" s="5">
        <v>40</v>
      </c>
      <c r="H39" s="5" t="str">
        <f>_xlfn.XLOOKUP(B39,'Restaurant Details'!A:A,'Restaurant Details'!B:B)</f>
        <v>Haldiram's</v>
      </c>
      <c r="I39" s="5" t="str">
        <f t="shared" si="0"/>
        <v>Sunday</v>
      </c>
    </row>
    <row r="40" spans="1:9" x14ac:dyDescent="0.3">
      <c r="A40" t="s">
        <v>55</v>
      </c>
      <c r="B40">
        <v>102</v>
      </c>
      <c r="C40" t="s">
        <v>8</v>
      </c>
      <c r="D40" t="s">
        <v>20</v>
      </c>
      <c r="E40" s="3">
        <v>46032</v>
      </c>
      <c r="F40">
        <v>52</v>
      </c>
      <c r="G40" s="5">
        <v>40</v>
      </c>
      <c r="H40" s="5" t="str">
        <f>_xlfn.XLOOKUP(B40,'Restaurant Details'!A:A,'Restaurant Details'!B:B)</f>
        <v>Domino's Pizza</v>
      </c>
      <c r="I40" s="5" t="str">
        <f t="shared" si="0"/>
        <v>Saturday</v>
      </c>
    </row>
    <row r="41" spans="1:9" x14ac:dyDescent="0.3">
      <c r="A41" t="s">
        <v>56</v>
      </c>
      <c r="B41">
        <v>105</v>
      </c>
      <c r="C41" t="s">
        <v>15</v>
      </c>
      <c r="D41" t="s">
        <v>16</v>
      </c>
      <c r="E41" s="3">
        <v>46092</v>
      </c>
      <c r="F41">
        <v>28</v>
      </c>
      <c r="G41" s="5">
        <v>80</v>
      </c>
      <c r="H41" s="5" t="str">
        <f>_xlfn.XLOOKUP(B41,'Restaurant Details'!A:A,'Restaurant Details'!B:B)</f>
        <v>McDonald's</v>
      </c>
      <c r="I41" s="5" t="str">
        <f t="shared" si="0"/>
        <v>Wednesday</v>
      </c>
    </row>
    <row r="42" spans="1:9" x14ac:dyDescent="0.3">
      <c r="A42" t="s">
        <v>57</v>
      </c>
      <c r="B42">
        <v>110</v>
      </c>
      <c r="C42" t="s">
        <v>13</v>
      </c>
      <c r="D42" t="s">
        <v>27</v>
      </c>
      <c r="E42" s="3">
        <v>46054</v>
      </c>
      <c r="F42">
        <v>50</v>
      </c>
      <c r="G42" s="5">
        <v>60</v>
      </c>
      <c r="H42" s="5" t="str">
        <f>_xlfn.XLOOKUP(B42,'Restaurant Details'!A:A,'Restaurant Details'!B:B)</f>
        <v>Pizza Hut</v>
      </c>
      <c r="I42" s="5" t="str">
        <f t="shared" si="0"/>
        <v>Sunday</v>
      </c>
    </row>
    <row r="43" spans="1:9" x14ac:dyDescent="0.3">
      <c r="A43" t="s">
        <v>58</v>
      </c>
      <c r="B43">
        <v>104</v>
      </c>
      <c r="C43" t="s">
        <v>8</v>
      </c>
      <c r="D43" t="s">
        <v>11</v>
      </c>
      <c r="E43" s="3">
        <v>46107</v>
      </c>
      <c r="F43">
        <v>47</v>
      </c>
      <c r="G43" s="5">
        <v>50</v>
      </c>
      <c r="H43" s="5" t="str">
        <f>_xlfn.XLOOKUP(B43,'Restaurant Details'!A:A,'Restaurant Details'!B:B)</f>
        <v>Haldiram's</v>
      </c>
      <c r="I43" s="5" t="str">
        <f t="shared" si="0"/>
        <v>Thursday</v>
      </c>
    </row>
    <row r="44" spans="1:9" x14ac:dyDescent="0.3">
      <c r="A44" t="s">
        <v>59</v>
      </c>
      <c r="B44">
        <v>107</v>
      </c>
      <c r="C44" t="s">
        <v>15</v>
      </c>
      <c r="D44" t="s">
        <v>27</v>
      </c>
      <c r="E44" s="3">
        <v>46029</v>
      </c>
      <c r="F44">
        <v>63</v>
      </c>
      <c r="G44" s="5">
        <v>80</v>
      </c>
      <c r="H44" s="5" t="str">
        <f>_xlfn.XLOOKUP(B44,'Restaurant Details'!A:A,'Restaurant Details'!B:B)</f>
        <v>Biryani Blues</v>
      </c>
      <c r="I44" s="5" t="str">
        <f t="shared" si="0"/>
        <v>Wednesday</v>
      </c>
    </row>
    <row r="45" spans="1:9" x14ac:dyDescent="0.3">
      <c r="A45" t="s">
        <v>60</v>
      </c>
      <c r="B45">
        <v>102</v>
      </c>
      <c r="C45" t="s">
        <v>8</v>
      </c>
      <c r="D45" t="s">
        <v>27</v>
      </c>
      <c r="E45" s="3">
        <v>46066</v>
      </c>
      <c r="F45">
        <v>26</v>
      </c>
      <c r="G45" s="5">
        <v>40</v>
      </c>
      <c r="H45" s="5" t="str">
        <f>_xlfn.XLOOKUP(B45,'Restaurant Details'!A:A,'Restaurant Details'!B:B)</f>
        <v>Domino's Pizza</v>
      </c>
      <c r="I45" s="5" t="str">
        <f t="shared" si="0"/>
        <v>Friday</v>
      </c>
    </row>
    <row r="46" spans="1:9" x14ac:dyDescent="0.3">
      <c r="A46" t="s">
        <v>61</v>
      </c>
      <c r="B46">
        <v>104</v>
      </c>
      <c r="C46" t="s">
        <v>18</v>
      </c>
      <c r="D46" t="s">
        <v>30</v>
      </c>
      <c r="E46" s="3">
        <v>46080</v>
      </c>
      <c r="F46">
        <v>28</v>
      </c>
      <c r="G46" s="5">
        <v>60</v>
      </c>
      <c r="H46" s="5" t="str">
        <f>_xlfn.XLOOKUP(B46,'Restaurant Details'!A:A,'Restaurant Details'!B:B)</f>
        <v>Haldiram's</v>
      </c>
      <c r="I46" s="5" t="str">
        <f t="shared" si="0"/>
        <v>Friday</v>
      </c>
    </row>
    <row r="47" spans="1:9" x14ac:dyDescent="0.3">
      <c r="A47" t="s">
        <v>62</v>
      </c>
      <c r="B47">
        <v>103</v>
      </c>
      <c r="C47" t="s">
        <v>22</v>
      </c>
      <c r="D47" t="s">
        <v>27</v>
      </c>
      <c r="E47" s="3">
        <v>46054</v>
      </c>
      <c r="F47">
        <v>24</v>
      </c>
      <c r="G47" s="5">
        <v>60</v>
      </c>
      <c r="H47" s="5" t="str">
        <f>_xlfn.XLOOKUP(B47,'Restaurant Details'!A:A,'Restaurant Details'!B:B)</f>
        <v>Subway</v>
      </c>
      <c r="I47" s="5" t="str">
        <f t="shared" si="0"/>
        <v>Sunday</v>
      </c>
    </row>
    <row r="48" spans="1:9" x14ac:dyDescent="0.3">
      <c r="A48" t="s">
        <v>63</v>
      </c>
      <c r="B48">
        <v>109</v>
      </c>
      <c r="C48" t="s">
        <v>8</v>
      </c>
      <c r="D48" t="s">
        <v>11</v>
      </c>
      <c r="E48" s="3">
        <v>46106</v>
      </c>
      <c r="F48">
        <v>54</v>
      </c>
      <c r="G48" s="5">
        <v>30</v>
      </c>
      <c r="H48" s="5" t="str">
        <f>_xlfn.XLOOKUP(B48,'Restaurant Details'!A:A,'Restaurant Details'!B:B)</f>
        <v>Cafe Coffee Day</v>
      </c>
      <c r="I48" s="5" t="str">
        <f t="shared" si="0"/>
        <v>Wednesday</v>
      </c>
    </row>
    <row r="49" spans="1:9" x14ac:dyDescent="0.3">
      <c r="A49" t="s">
        <v>64</v>
      </c>
      <c r="B49">
        <v>102</v>
      </c>
      <c r="C49" t="s">
        <v>18</v>
      </c>
      <c r="D49" t="s">
        <v>16</v>
      </c>
      <c r="E49" s="3">
        <v>46075</v>
      </c>
      <c r="F49">
        <v>51</v>
      </c>
      <c r="G49" s="5">
        <v>60</v>
      </c>
      <c r="H49" s="5" t="str">
        <f>_xlfn.XLOOKUP(B49,'Restaurant Details'!A:A,'Restaurant Details'!B:B)</f>
        <v>Domino's Pizza</v>
      </c>
      <c r="I49" s="5" t="str">
        <f t="shared" si="0"/>
        <v>Sunday</v>
      </c>
    </row>
    <row r="50" spans="1:9" x14ac:dyDescent="0.3">
      <c r="A50" t="s">
        <v>65</v>
      </c>
      <c r="B50">
        <v>104</v>
      </c>
      <c r="C50" t="s">
        <v>15</v>
      </c>
      <c r="D50" t="s">
        <v>11</v>
      </c>
      <c r="E50" s="3">
        <v>46044</v>
      </c>
      <c r="F50">
        <v>44</v>
      </c>
      <c r="G50" s="5">
        <v>30</v>
      </c>
      <c r="H50" s="5" t="str">
        <f>_xlfn.XLOOKUP(B50,'Restaurant Details'!A:A,'Restaurant Details'!B:B)</f>
        <v>Haldiram's</v>
      </c>
      <c r="I50" s="5" t="str">
        <f t="shared" si="0"/>
        <v>Thursday</v>
      </c>
    </row>
    <row r="51" spans="1:9" x14ac:dyDescent="0.3">
      <c r="A51" t="s">
        <v>66</v>
      </c>
      <c r="B51">
        <v>107</v>
      </c>
      <c r="C51" t="s">
        <v>22</v>
      </c>
      <c r="D51" t="s">
        <v>27</v>
      </c>
      <c r="E51" s="3">
        <v>46059</v>
      </c>
      <c r="F51">
        <v>47</v>
      </c>
      <c r="G51" s="5">
        <v>80</v>
      </c>
      <c r="H51" s="5" t="str">
        <f>_xlfn.XLOOKUP(B51,'Restaurant Details'!A:A,'Restaurant Details'!B:B)</f>
        <v>Biryani Blues</v>
      </c>
      <c r="I51" s="5" t="str">
        <f t="shared" si="0"/>
        <v>Friday</v>
      </c>
    </row>
    <row r="52" spans="1:9" x14ac:dyDescent="0.3">
      <c r="A52" t="s">
        <v>67</v>
      </c>
      <c r="B52">
        <v>109</v>
      </c>
      <c r="C52" t="s">
        <v>15</v>
      </c>
      <c r="D52" t="s">
        <v>16</v>
      </c>
      <c r="E52" s="3">
        <v>46047</v>
      </c>
      <c r="F52">
        <v>38</v>
      </c>
      <c r="G52" s="5">
        <v>40</v>
      </c>
      <c r="H52" s="5" t="str">
        <f>_xlfn.XLOOKUP(B52,'Restaurant Details'!A:A,'Restaurant Details'!B:B)</f>
        <v>Cafe Coffee Day</v>
      </c>
      <c r="I52" s="5" t="str">
        <f t="shared" si="0"/>
        <v>Sunday</v>
      </c>
    </row>
    <row r="53" spans="1:9" x14ac:dyDescent="0.3">
      <c r="A53" t="s">
        <v>68</v>
      </c>
      <c r="B53">
        <v>101</v>
      </c>
      <c r="C53" t="s">
        <v>13</v>
      </c>
      <c r="D53" t="s">
        <v>88</v>
      </c>
      <c r="E53" s="3">
        <v>46092</v>
      </c>
      <c r="F53">
        <v>23</v>
      </c>
      <c r="G53" s="5">
        <v>80</v>
      </c>
      <c r="H53" s="5" t="str">
        <f>_xlfn.XLOOKUP(B53,'Restaurant Details'!A:A,'Restaurant Details'!B:B)</f>
        <v>Burger King</v>
      </c>
      <c r="I53" s="5" t="str">
        <f t="shared" si="0"/>
        <v>Wednesday</v>
      </c>
    </row>
    <row r="54" spans="1:9" x14ac:dyDescent="0.3">
      <c r="A54" t="s">
        <v>69</v>
      </c>
      <c r="B54">
        <v>106</v>
      </c>
      <c r="C54" t="s">
        <v>8</v>
      </c>
      <c r="D54" t="s">
        <v>11</v>
      </c>
      <c r="E54" s="3">
        <v>46097</v>
      </c>
      <c r="F54">
        <v>50</v>
      </c>
      <c r="G54" s="5">
        <v>70</v>
      </c>
      <c r="H54" s="5" t="str">
        <f>_xlfn.XLOOKUP(B54,'Restaurant Details'!A:A,'Restaurant Details'!B:B)</f>
        <v>The Belgian Waffle Co.</v>
      </c>
      <c r="I54" s="5" t="str">
        <f t="shared" si="0"/>
        <v>Monday</v>
      </c>
    </row>
    <row r="55" spans="1:9" x14ac:dyDescent="0.3">
      <c r="A55" t="s">
        <v>70</v>
      </c>
      <c r="B55">
        <v>109</v>
      </c>
      <c r="C55" t="s">
        <v>18</v>
      </c>
      <c r="D55" t="s">
        <v>11</v>
      </c>
      <c r="E55" s="3">
        <v>46088</v>
      </c>
      <c r="F55">
        <v>25</v>
      </c>
      <c r="G55" s="5">
        <v>40</v>
      </c>
      <c r="H55" s="5" t="str">
        <f>_xlfn.XLOOKUP(B55,'Restaurant Details'!A:A,'Restaurant Details'!B:B)</f>
        <v>Cafe Coffee Day</v>
      </c>
      <c r="I55" s="5" t="str">
        <f t="shared" si="0"/>
        <v>Saturday</v>
      </c>
    </row>
    <row r="56" spans="1:9" x14ac:dyDescent="0.3">
      <c r="A56" t="s">
        <v>71</v>
      </c>
      <c r="B56">
        <v>102</v>
      </c>
      <c r="C56" t="s">
        <v>13</v>
      </c>
      <c r="D56" t="s">
        <v>11</v>
      </c>
      <c r="E56" s="3">
        <v>46109</v>
      </c>
      <c r="F56">
        <v>35</v>
      </c>
      <c r="G56" s="5">
        <v>60</v>
      </c>
      <c r="H56" s="5" t="str">
        <f>_xlfn.XLOOKUP(B56,'Restaurant Details'!A:A,'Restaurant Details'!B:B)</f>
        <v>Domino's Pizza</v>
      </c>
      <c r="I56" s="5" t="str">
        <f t="shared" si="0"/>
        <v>Saturday</v>
      </c>
    </row>
    <row r="57" spans="1:9" x14ac:dyDescent="0.3">
      <c r="A57" t="s">
        <v>72</v>
      </c>
      <c r="B57">
        <v>102</v>
      </c>
      <c r="C57" t="s">
        <v>13</v>
      </c>
      <c r="D57" t="s">
        <v>16</v>
      </c>
      <c r="E57" s="3">
        <v>46097</v>
      </c>
      <c r="F57">
        <v>58</v>
      </c>
      <c r="G57" s="5">
        <v>30</v>
      </c>
      <c r="H57" s="5" t="str">
        <f>_xlfn.XLOOKUP(B57,'Restaurant Details'!A:A,'Restaurant Details'!B:B)</f>
        <v>Domino's Pizza</v>
      </c>
      <c r="I57" s="5" t="str">
        <f t="shared" si="0"/>
        <v>Monday</v>
      </c>
    </row>
    <row r="58" spans="1:9" x14ac:dyDescent="0.3">
      <c r="A58" t="s">
        <v>73</v>
      </c>
      <c r="B58">
        <v>110</v>
      </c>
      <c r="C58" t="s">
        <v>8</v>
      </c>
      <c r="D58" t="s">
        <v>27</v>
      </c>
      <c r="E58" s="3">
        <v>46107</v>
      </c>
      <c r="F58">
        <v>57</v>
      </c>
      <c r="G58" s="5">
        <v>70</v>
      </c>
      <c r="H58" s="5" t="str">
        <f>_xlfn.XLOOKUP(B58,'Restaurant Details'!A:A,'Restaurant Details'!B:B)</f>
        <v>Pizza Hut</v>
      </c>
      <c r="I58" s="5" t="str">
        <f t="shared" si="0"/>
        <v>Thursday</v>
      </c>
    </row>
    <row r="59" spans="1:9" x14ac:dyDescent="0.3">
      <c r="A59" t="s">
        <v>74</v>
      </c>
      <c r="B59">
        <v>109</v>
      </c>
      <c r="C59" t="s">
        <v>22</v>
      </c>
      <c r="D59" t="s">
        <v>20</v>
      </c>
      <c r="E59" s="3">
        <v>46049</v>
      </c>
      <c r="F59">
        <v>62</v>
      </c>
      <c r="G59" s="5">
        <v>80</v>
      </c>
      <c r="H59" s="5" t="str">
        <f>_xlfn.XLOOKUP(B59,'Restaurant Details'!A:A,'Restaurant Details'!B:B)</f>
        <v>Cafe Coffee Day</v>
      </c>
      <c r="I59" s="5" t="str">
        <f t="shared" si="0"/>
        <v>Tuesday</v>
      </c>
    </row>
    <row r="60" spans="1:9" x14ac:dyDescent="0.3">
      <c r="A60" t="s">
        <v>75</v>
      </c>
      <c r="B60">
        <v>106</v>
      </c>
      <c r="C60" t="s">
        <v>18</v>
      </c>
      <c r="D60" t="s">
        <v>20</v>
      </c>
      <c r="E60" s="3">
        <v>46073</v>
      </c>
      <c r="F60">
        <v>28</v>
      </c>
      <c r="G60" s="5">
        <v>80</v>
      </c>
      <c r="H60" s="5" t="str">
        <f>_xlfn.XLOOKUP(B60,'Restaurant Details'!A:A,'Restaurant Details'!B:B)</f>
        <v>The Belgian Waffle Co.</v>
      </c>
      <c r="I60" s="5" t="str">
        <f t="shared" si="0"/>
        <v>Friday</v>
      </c>
    </row>
    <row r="61" spans="1:9" x14ac:dyDescent="0.3">
      <c r="A61" t="s">
        <v>76</v>
      </c>
      <c r="B61">
        <v>105</v>
      </c>
      <c r="C61" t="s">
        <v>15</v>
      </c>
      <c r="D61" t="s">
        <v>20</v>
      </c>
      <c r="E61" s="3">
        <v>46032</v>
      </c>
      <c r="F61">
        <v>20</v>
      </c>
      <c r="G61" s="5">
        <v>60</v>
      </c>
      <c r="H61" s="5" t="str">
        <f>_xlfn.XLOOKUP(B61,'Restaurant Details'!A:A,'Restaurant Details'!B:B)</f>
        <v>McDonald's</v>
      </c>
      <c r="I61" s="5" t="str">
        <f t="shared" si="0"/>
        <v>Saturday</v>
      </c>
    </row>
  </sheetData>
  <autoFilter ref="D1:D64"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D4590-6D7E-4294-901B-775B2E4E1AA1}">
  <dimension ref="A3:C9"/>
  <sheetViews>
    <sheetView workbookViewId="0">
      <selection activeCell="B5" sqref="B5"/>
    </sheetView>
  </sheetViews>
  <sheetFormatPr defaultRowHeight="14.4" x14ac:dyDescent="0.3"/>
  <cols>
    <col min="1" max="1" width="12.5546875" bestFit="1" customWidth="1"/>
    <col min="2" max="2" width="15.88671875" bestFit="1" customWidth="1"/>
    <col min="3" max="3" width="25.77734375" bestFit="1" customWidth="1"/>
  </cols>
  <sheetData>
    <row r="3" spans="1:3" x14ac:dyDescent="0.3">
      <c r="A3" s="6" t="s">
        <v>91</v>
      </c>
      <c r="B3" t="s">
        <v>93</v>
      </c>
      <c r="C3" t="s">
        <v>94</v>
      </c>
    </row>
    <row r="4" spans="1:3" x14ac:dyDescent="0.3">
      <c r="A4" s="7" t="s">
        <v>8</v>
      </c>
      <c r="B4" s="9">
        <v>17</v>
      </c>
      <c r="C4" s="5">
        <v>900</v>
      </c>
    </row>
    <row r="5" spans="1:3" x14ac:dyDescent="0.3">
      <c r="A5" s="7" t="s">
        <v>13</v>
      </c>
      <c r="B5" s="9">
        <v>15</v>
      </c>
      <c r="C5" s="5">
        <v>960</v>
      </c>
    </row>
    <row r="6" spans="1:3" x14ac:dyDescent="0.3">
      <c r="A6" s="7" t="s">
        <v>22</v>
      </c>
      <c r="B6" s="9">
        <v>7</v>
      </c>
      <c r="C6" s="5">
        <v>410</v>
      </c>
    </row>
    <row r="7" spans="1:3" x14ac:dyDescent="0.3">
      <c r="A7" s="7" t="s">
        <v>18</v>
      </c>
      <c r="B7" s="9">
        <v>12</v>
      </c>
      <c r="C7" s="5">
        <v>790</v>
      </c>
    </row>
    <row r="8" spans="1:3" x14ac:dyDescent="0.3">
      <c r="A8" s="7" t="s">
        <v>15</v>
      </c>
      <c r="B8" s="9">
        <v>9</v>
      </c>
      <c r="C8" s="5">
        <v>510</v>
      </c>
    </row>
    <row r="9" spans="1:3" x14ac:dyDescent="0.3">
      <c r="A9" s="7" t="s">
        <v>92</v>
      </c>
      <c r="B9" s="9">
        <v>60</v>
      </c>
      <c r="C9" s="5">
        <v>3570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30210-2D86-417E-9EAC-AFE8C551ECD0}">
  <dimension ref="A1:F13"/>
  <sheetViews>
    <sheetView tabSelected="1" workbookViewId="0">
      <selection activeCell="E21" sqref="E21"/>
    </sheetView>
  </sheetViews>
  <sheetFormatPr defaultRowHeight="14.4" x14ac:dyDescent="0.3"/>
  <cols>
    <col min="1" max="1" width="16.77734375" customWidth="1"/>
    <col min="2" max="2" width="26.109375" customWidth="1"/>
    <col min="3" max="3" width="19.77734375" bestFit="1" customWidth="1"/>
    <col min="4" max="4" width="15.88671875" bestFit="1" customWidth="1"/>
    <col min="5" max="5" width="25.77734375" bestFit="1" customWidth="1"/>
  </cols>
  <sheetData>
    <row r="1" spans="1:6" ht="25.8" x14ac:dyDescent="0.5">
      <c r="A1" s="10" t="s">
        <v>98</v>
      </c>
      <c r="B1" s="11"/>
      <c r="C1" s="11"/>
      <c r="D1" s="11"/>
      <c r="E1" s="11"/>
      <c r="F1" s="11"/>
    </row>
    <row r="2" spans="1:6" x14ac:dyDescent="0.3">
      <c r="A2" t="s">
        <v>95</v>
      </c>
      <c r="B2">
        <f>GETPIVOTDATA("Count of Order ID",EXTRA!$A$3)</f>
        <v>12</v>
      </c>
    </row>
    <row r="3" spans="1:6" x14ac:dyDescent="0.3">
      <c r="A3" t="s">
        <v>96</v>
      </c>
      <c r="B3" s="8">
        <f>GETPIVOTDATA("Average of Delivery Time (mins)",EXTRA!$A$3)</f>
        <v>40.083333333333336</v>
      </c>
    </row>
    <row r="8" spans="1:6" x14ac:dyDescent="0.3">
      <c r="B8" t="s">
        <v>97</v>
      </c>
      <c r="C8" s="6" t="s">
        <v>91</v>
      </c>
      <c r="D8" t="s">
        <v>93</v>
      </c>
    </row>
    <row r="9" spans="1:6" x14ac:dyDescent="0.3">
      <c r="C9" s="7" t="s">
        <v>79</v>
      </c>
      <c r="D9" s="9">
        <v>5</v>
      </c>
    </row>
    <row r="10" spans="1:6" x14ac:dyDescent="0.3">
      <c r="C10" s="7" t="s">
        <v>81</v>
      </c>
      <c r="D10" s="9">
        <v>3</v>
      </c>
    </row>
    <row r="11" spans="1:6" x14ac:dyDescent="0.3">
      <c r="C11" s="7" t="s">
        <v>85</v>
      </c>
      <c r="D11" s="9">
        <v>2</v>
      </c>
    </row>
    <row r="12" spans="1:6" x14ac:dyDescent="0.3">
      <c r="C12" s="7" t="s">
        <v>83</v>
      </c>
      <c r="D12" s="9">
        <v>2</v>
      </c>
    </row>
    <row r="13" spans="1:6" x14ac:dyDescent="0.3">
      <c r="C13" s="7" t="s">
        <v>92</v>
      </c>
      <c r="D13" s="9">
        <v>12</v>
      </c>
    </row>
  </sheetData>
  <mergeCells count="1">
    <mergeCell ref="A1:F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pane ySplit="1" topLeftCell="A2" activePane="bottomLeft" state="frozen"/>
      <selection pane="bottomLeft"/>
    </sheetView>
  </sheetViews>
  <sheetFormatPr defaultRowHeight="14.4" x14ac:dyDescent="0.3"/>
  <cols>
    <col min="1" max="1" width="15" customWidth="1"/>
    <col min="2" max="2" width="24" customWidth="1"/>
  </cols>
  <sheetData>
    <row r="1" spans="1:2" x14ac:dyDescent="0.3">
      <c r="A1" s="1" t="s">
        <v>1</v>
      </c>
      <c r="B1" s="1" t="s">
        <v>77</v>
      </c>
    </row>
    <row r="2" spans="1:2" x14ac:dyDescent="0.3">
      <c r="A2">
        <v>101</v>
      </c>
      <c r="B2" t="s">
        <v>78</v>
      </c>
    </row>
    <row r="3" spans="1:2" x14ac:dyDescent="0.3">
      <c r="A3">
        <v>102</v>
      </c>
      <c r="B3" t="s">
        <v>79</v>
      </c>
    </row>
    <row r="4" spans="1:2" x14ac:dyDescent="0.3">
      <c r="A4">
        <v>103</v>
      </c>
      <c r="B4" t="s">
        <v>80</v>
      </c>
    </row>
    <row r="5" spans="1:2" x14ac:dyDescent="0.3">
      <c r="A5">
        <v>104</v>
      </c>
      <c r="B5" t="s">
        <v>81</v>
      </c>
    </row>
    <row r="6" spans="1:2" x14ac:dyDescent="0.3">
      <c r="A6">
        <v>105</v>
      </c>
      <c r="B6" t="s">
        <v>82</v>
      </c>
    </row>
    <row r="7" spans="1:2" x14ac:dyDescent="0.3">
      <c r="A7">
        <v>106</v>
      </c>
      <c r="B7" t="s">
        <v>83</v>
      </c>
    </row>
    <row r="8" spans="1:2" x14ac:dyDescent="0.3">
      <c r="A8">
        <v>107</v>
      </c>
      <c r="B8" t="s">
        <v>84</v>
      </c>
    </row>
    <row r="9" spans="1:2" x14ac:dyDescent="0.3">
      <c r="A9">
        <v>108</v>
      </c>
      <c r="B9" t="s">
        <v>85</v>
      </c>
    </row>
    <row r="10" spans="1:2" x14ac:dyDescent="0.3">
      <c r="A10">
        <v>109</v>
      </c>
      <c r="B10" t="s">
        <v>86</v>
      </c>
    </row>
    <row r="11" spans="1:2" x14ac:dyDescent="0.3">
      <c r="A11">
        <v>110</v>
      </c>
      <c r="B11" t="s">
        <v>87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93BF3-730F-45D7-B7EF-7E110547E760}">
  <dimension ref="A3:C8"/>
  <sheetViews>
    <sheetView workbookViewId="0">
      <selection activeCell="C6" sqref="C6"/>
    </sheetView>
  </sheetViews>
  <sheetFormatPr defaultRowHeight="14.4" x14ac:dyDescent="0.3"/>
  <cols>
    <col min="1" max="1" width="19.77734375" bestFit="1" customWidth="1"/>
    <col min="2" max="2" width="15.88671875" bestFit="1" customWidth="1"/>
    <col min="3" max="3" width="28.109375" bestFit="1" customWidth="1"/>
  </cols>
  <sheetData>
    <row r="3" spans="1:3" x14ac:dyDescent="0.3">
      <c r="A3" s="6" t="s">
        <v>91</v>
      </c>
      <c r="B3" t="s">
        <v>93</v>
      </c>
      <c r="C3" t="s">
        <v>99</v>
      </c>
    </row>
    <row r="4" spans="1:3" x14ac:dyDescent="0.3">
      <c r="A4" s="7" t="s">
        <v>79</v>
      </c>
      <c r="B4" s="9">
        <v>5</v>
      </c>
      <c r="C4" s="9">
        <v>42.2</v>
      </c>
    </row>
    <row r="5" spans="1:3" x14ac:dyDescent="0.3">
      <c r="A5" s="7" t="s">
        <v>81</v>
      </c>
      <c r="B5" s="9">
        <v>3</v>
      </c>
      <c r="C5" s="9">
        <v>39.666666666666664</v>
      </c>
    </row>
    <row r="6" spans="1:3" x14ac:dyDescent="0.3">
      <c r="A6" s="7" t="s">
        <v>85</v>
      </c>
      <c r="B6" s="9">
        <v>2</v>
      </c>
      <c r="C6" s="9">
        <v>33.5</v>
      </c>
    </row>
    <row r="7" spans="1:3" x14ac:dyDescent="0.3">
      <c r="A7" s="7" t="s">
        <v>83</v>
      </c>
      <c r="B7" s="9">
        <v>2</v>
      </c>
      <c r="C7" s="9">
        <v>42</v>
      </c>
    </row>
    <row r="8" spans="1:3" x14ac:dyDescent="0.3">
      <c r="A8" s="7" t="s">
        <v>92</v>
      </c>
      <c r="B8" s="9">
        <v>12</v>
      </c>
      <c r="C8" s="9">
        <v>40.083333333333336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TASK-1-2-3</vt:lpstr>
      <vt:lpstr>TASK4</vt:lpstr>
      <vt:lpstr>TASK5</vt:lpstr>
      <vt:lpstr>Restaurant Details</vt:lpstr>
      <vt:lpstr>EXTRA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Diya Shah</cp:lastModifiedBy>
  <dcterms:created xsi:type="dcterms:W3CDTF">2026-09-02T06:13:55Z</dcterms:created>
  <dcterms:modified xsi:type="dcterms:W3CDTF">2026-09-03T09:00:33Z</dcterms:modified>
</cp:coreProperties>
</file>