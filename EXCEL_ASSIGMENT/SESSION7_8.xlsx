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DIA TOPS/EXCEL_ASSIGMENT/"/>
    </mc:Choice>
  </mc:AlternateContent>
  <xr:revisionPtr revIDLastSave="88" documentId="11_F25DC773A252ABDACC10485ED1594EC65BDE58EB" xr6:coauthVersionLast="47" xr6:coauthVersionMax="47" xr10:uidLastSave="{89966888-2AA3-4A60-9CF9-0BADCFFB72C5}"/>
  <bookViews>
    <workbookView xWindow="-108" yWindow="-108" windowWidth="23256" windowHeight="12456" activeTab="1" xr2:uid="{00000000-000D-0000-FFFF-FFFF00000000}"/>
  </bookViews>
  <sheets>
    <sheet name="SESSION7" sheetId="1" r:id="rId1"/>
    <sheet name="SESSION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2" l="1"/>
  <c r="W5" i="2"/>
  <c r="W6" i="2"/>
  <c r="W3" i="2"/>
  <c r="R4" i="2"/>
  <c r="R5" i="2"/>
  <c r="R6" i="2"/>
  <c r="R3" i="2"/>
  <c r="L6" i="2"/>
  <c r="L4" i="2"/>
  <c r="L5" i="2"/>
  <c r="L3" i="2"/>
  <c r="G4" i="2"/>
  <c r="G5" i="2"/>
  <c r="G6" i="2"/>
  <c r="G3" i="2"/>
  <c r="C4" i="2"/>
  <c r="C5" i="2"/>
  <c r="C6" i="2"/>
  <c r="C3" i="2"/>
  <c r="P3" i="1"/>
  <c r="Q3" i="1" s="1"/>
  <c r="M4" i="1"/>
  <c r="M5" i="1"/>
  <c r="M6" i="1"/>
  <c r="M3" i="1"/>
  <c r="I4" i="1"/>
  <c r="I5" i="1"/>
  <c r="I6" i="1"/>
  <c r="I7" i="1"/>
  <c r="I3" i="1"/>
  <c r="F4" i="1"/>
  <c r="F5" i="1"/>
  <c r="F6" i="1"/>
  <c r="F7" i="1"/>
  <c r="E4" i="1"/>
  <c r="E5" i="1"/>
  <c r="E6" i="1"/>
  <c r="E7" i="1"/>
  <c r="D4" i="1"/>
  <c r="D5" i="1"/>
  <c r="D6" i="1"/>
  <c r="D7" i="1"/>
  <c r="F3" i="1"/>
  <c r="E3" i="1"/>
  <c r="D3" i="1"/>
  <c r="A3" i="1"/>
  <c r="A2" i="1"/>
</calcChain>
</file>

<file path=xl/sharedStrings.xml><?xml version="1.0" encoding="utf-8"?>
<sst xmlns="http://schemas.openxmlformats.org/spreadsheetml/2006/main" count="73" uniqueCount="62">
  <si>
    <t>TASK1</t>
  </si>
  <si>
    <t>TASK2</t>
  </si>
  <si>
    <t>Birthday</t>
  </si>
  <si>
    <t>Year</t>
  </si>
  <si>
    <t>Month</t>
  </si>
  <si>
    <t>Day</t>
  </si>
  <si>
    <t>TASK3</t>
  </si>
  <si>
    <t>Match Date</t>
  </si>
  <si>
    <t>Working Days Until Today</t>
  </si>
  <si>
    <t>TASK4</t>
  </si>
  <si>
    <t>Order Date</t>
  </si>
  <si>
    <t>Delivery Date</t>
  </si>
  <si>
    <t>Days Taken</t>
  </si>
  <si>
    <t>Signup Date</t>
  </si>
  <si>
    <t>End of Current Month</t>
  </si>
  <si>
    <t>Months Used</t>
  </si>
  <si>
    <t>TASK5</t>
  </si>
  <si>
    <t>Order ID</t>
  </si>
  <si>
    <t>Total Amount</t>
  </si>
  <si>
    <t>OD101</t>
  </si>
  <si>
    <t>OD102</t>
  </si>
  <si>
    <t>OD103</t>
  </si>
  <si>
    <t>OD104</t>
  </si>
  <si>
    <t>ORDER TYPE</t>
  </si>
  <si>
    <t>Player</t>
  </si>
  <si>
    <t>Total Runs</t>
  </si>
  <si>
    <t>Rating</t>
  </si>
  <si>
    <t>Virat</t>
  </si>
  <si>
    <t>Rohit</t>
  </si>
  <si>
    <t>Gill</t>
  </si>
  <si>
    <t>Rinku</t>
  </si>
  <si>
    <t>Payment Method</t>
  </si>
  <si>
    <t>Order Status</t>
  </si>
  <si>
    <t>F101</t>
  </si>
  <si>
    <t>Prepaid</t>
  </si>
  <si>
    <t>Delivered</t>
  </si>
  <si>
    <t>F102</t>
  </si>
  <si>
    <t>Cash</t>
  </si>
  <si>
    <t>F103</t>
  </si>
  <si>
    <t>Pending</t>
  </si>
  <si>
    <t>F104</t>
  </si>
  <si>
    <t>ELIGIBILITY</t>
  </si>
  <si>
    <t>Song</t>
  </si>
  <si>
    <t>Artist</t>
  </si>
  <si>
    <t>isDownloaded</t>
  </si>
  <si>
    <t>isFavorite</t>
  </si>
  <si>
    <t>Access</t>
  </si>
  <si>
    <t>Song A</t>
  </si>
  <si>
    <t>Artist 1</t>
  </si>
  <si>
    <t>Song B</t>
  </si>
  <si>
    <t>Artist 2</t>
  </si>
  <si>
    <t>Song C</t>
  </si>
  <si>
    <t>Artist 3</t>
  </si>
  <si>
    <t>Song D</t>
  </si>
  <si>
    <t>Artist 4</t>
  </si>
  <si>
    <t>New Address</t>
  </si>
  <si>
    <t>Cash Payment</t>
  </si>
  <si>
    <t>Z101</t>
  </si>
  <si>
    <t>Z102</t>
  </si>
  <si>
    <t>Z103</t>
  </si>
  <si>
    <t>Z104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</si>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</sst>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Q4" sqref="Q4"/>
    </sheetView>
  </sheetViews>
  <sheetFormatPr defaultRowHeight="14.4" x14ac:dyDescent="0.3"/>
  <cols>
    <col min="1" max="1" width="15.44140625" bestFit="1" customWidth="1"/>
    <col min="3" max="3" width="10.33203125" bestFit="1" customWidth="1"/>
    <col min="8" max="8" width="11.5546875" customWidth="1"/>
    <col min="9" max="9" width="11.33203125" customWidth="1"/>
    <col min="11" max="12" width="10.33203125" bestFit="1" customWidth="1"/>
    <col min="15" max="16" width="10.33203125" bestFit="1" customWidth="1"/>
  </cols>
  <sheetData>
    <row r="1" spans="1:17" x14ac:dyDescent="0.3">
      <c r="A1" s="3" t="s">
        <v>0</v>
      </c>
      <c r="C1" s="11" t="s">
        <v>1</v>
      </c>
      <c r="D1" s="11"/>
      <c r="E1" s="11"/>
      <c r="F1" s="11"/>
      <c r="H1" s="11" t="s">
        <v>6</v>
      </c>
      <c r="I1" s="11"/>
      <c r="K1" s="11" t="s">
        <v>9</v>
      </c>
      <c r="L1" s="11"/>
      <c r="M1" s="11"/>
      <c r="O1" s="11" t="s">
        <v>16</v>
      </c>
      <c r="P1" s="11"/>
      <c r="Q1" s="11"/>
    </row>
    <row r="2" spans="1:17" ht="43.2" x14ac:dyDescent="0.3">
      <c r="A2" s="1">
        <f ca="1">TODAY()</f>
        <v>46259</v>
      </c>
      <c r="C2" s="5" t="s">
        <v>2</v>
      </c>
      <c r="D2" s="5" t="s">
        <v>3</v>
      </c>
      <c r="E2" s="5" t="s">
        <v>4</v>
      </c>
      <c r="F2" s="5" t="s">
        <v>5</v>
      </c>
      <c r="H2" s="5" t="s">
        <v>7</v>
      </c>
      <c r="I2" s="5" t="s">
        <v>8</v>
      </c>
      <c r="K2" s="5" t="s">
        <v>10</v>
      </c>
      <c r="L2" s="5" t="s">
        <v>11</v>
      </c>
      <c r="M2" s="5" t="s">
        <v>12</v>
      </c>
      <c r="O2" s="5" t="s">
        <v>13</v>
      </c>
      <c r="P2" s="5" t="s">
        <v>14</v>
      </c>
      <c r="Q2" s="5" t="s">
        <v>15</v>
      </c>
    </row>
    <row r="3" spans="1:17" x14ac:dyDescent="0.3">
      <c r="A3" s="2">
        <f ca="1">NOW()</f>
        <v>46259.659513888888</v>
      </c>
      <c r="C3" s="6">
        <v>37695</v>
      </c>
      <c r="D3" s="4">
        <f>YEAR(C3)</f>
        <v>2003</v>
      </c>
      <c r="E3" s="4">
        <f>MONTH(C3)</f>
        <v>3</v>
      </c>
      <c r="F3" s="4">
        <f>DAY(C3)</f>
        <v>15</v>
      </c>
      <c r="H3" s="6">
        <v>46122</v>
      </c>
      <c r="I3" s="4">
        <f ca="1">NETWORKDAYS(H3,TODAY())</f>
        <v>98</v>
      </c>
      <c r="K3" s="6">
        <v>46235</v>
      </c>
      <c r="L3" s="6">
        <v>46239</v>
      </c>
      <c r="M3" s="4">
        <f>DATEDIF(K3,L3,"D")</f>
        <v>4</v>
      </c>
      <c r="O3" s="6">
        <v>45458</v>
      </c>
      <c r="P3" s="6">
        <f ca="1">EOMONTH(TODAY(),0)</f>
        <v>46265</v>
      </c>
      <c r="Q3" s="4">
        <f ca="1">DATEDIF(O3,P3,"M")</f>
        <v>26</v>
      </c>
    </row>
    <row r="4" spans="1:17" x14ac:dyDescent="0.3">
      <c r="C4" s="6">
        <v>37459</v>
      </c>
      <c r="D4" s="4">
        <f t="shared" ref="D4:D7" si="0">YEAR(C4)</f>
        <v>2002</v>
      </c>
      <c r="E4" s="4">
        <f t="shared" ref="E4:E7" si="1">MONTH(C4)</f>
        <v>7</v>
      </c>
      <c r="F4" s="4">
        <f t="shared" ref="F4:F7" si="2">DAY(C4)</f>
        <v>22</v>
      </c>
      <c r="H4" s="6">
        <v>46127</v>
      </c>
      <c r="I4" s="4">
        <f t="shared" ref="I4:I7" ca="1" si="3">NETWORKDAYS(H4,TODAY())</f>
        <v>95</v>
      </c>
      <c r="K4" s="6">
        <v>46244</v>
      </c>
      <c r="L4" s="6">
        <v>46248</v>
      </c>
      <c r="M4" s="4">
        <f t="shared" ref="M4:M6" si="4">DATEDIF(K4,L4,"D")</f>
        <v>4</v>
      </c>
    </row>
    <row r="5" spans="1:17" x14ac:dyDescent="0.3">
      <c r="C5" s="6">
        <v>38299</v>
      </c>
      <c r="D5" s="4">
        <f t="shared" si="0"/>
        <v>2004</v>
      </c>
      <c r="E5" s="4">
        <f t="shared" si="1"/>
        <v>11</v>
      </c>
      <c r="F5" s="4">
        <f t="shared" si="2"/>
        <v>8</v>
      </c>
      <c r="H5" s="6">
        <v>46132</v>
      </c>
      <c r="I5" s="4">
        <f t="shared" ca="1" si="3"/>
        <v>92</v>
      </c>
      <c r="K5" s="6">
        <v>46249</v>
      </c>
      <c r="L5" s="6">
        <v>46254</v>
      </c>
      <c r="M5" s="4">
        <f t="shared" si="4"/>
        <v>5</v>
      </c>
    </row>
    <row r="6" spans="1:17" x14ac:dyDescent="0.3">
      <c r="C6" s="6">
        <v>37640</v>
      </c>
      <c r="D6" s="4">
        <f t="shared" si="0"/>
        <v>2003</v>
      </c>
      <c r="E6" s="4">
        <f t="shared" si="1"/>
        <v>1</v>
      </c>
      <c r="F6" s="4">
        <f t="shared" si="2"/>
        <v>19</v>
      </c>
      <c r="H6" s="6">
        <v>46137</v>
      </c>
      <c r="I6" s="4">
        <f t="shared" ca="1" si="3"/>
        <v>87</v>
      </c>
      <c r="K6" s="6">
        <v>46252</v>
      </c>
      <c r="L6" s="6">
        <v>46257</v>
      </c>
      <c r="M6" s="4">
        <f t="shared" si="4"/>
        <v>5</v>
      </c>
    </row>
    <row r="7" spans="1:17" x14ac:dyDescent="0.3">
      <c r="C7" s="6">
        <v>37529</v>
      </c>
      <c r="D7" s="4">
        <f t="shared" si="0"/>
        <v>2002</v>
      </c>
      <c r="E7" s="4">
        <f t="shared" si="1"/>
        <v>9</v>
      </c>
      <c r="F7" s="4">
        <f t="shared" si="2"/>
        <v>30</v>
      </c>
      <c r="H7" s="6">
        <v>46142</v>
      </c>
      <c r="I7" s="4">
        <f t="shared" ca="1" si="3"/>
        <v>84</v>
      </c>
    </row>
  </sheetData>
  <mergeCells count="4">
    <mergeCell ref="C1:F1"/>
    <mergeCell ref="H1:I1"/>
    <mergeCell ref="K1:M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B920-DBC8-4340-A9AC-17AD16D909D9}">
  <dimension ref="A1:W6"/>
  <sheetViews>
    <sheetView tabSelected="1" topLeftCell="B1" workbookViewId="0">
      <selection activeCell="W3" sqref="W3:W6"/>
    </sheetView>
  </sheetViews>
  <sheetFormatPr defaultRowHeight="14.4" x14ac:dyDescent="0.3"/>
  <cols>
    <col min="3" max="3" width="10.88671875" customWidth="1"/>
    <col min="12" max="12" width="10.77734375" customWidth="1"/>
    <col min="18" max="18" width="9.88671875" customWidth="1"/>
  </cols>
  <sheetData>
    <row r="1" spans="1:23" x14ac:dyDescent="0.3">
      <c r="A1" s="11" t="s">
        <v>0</v>
      </c>
      <c r="B1" s="11"/>
      <c r="C1" s="11"/>
      <c r="E1" s="11" t="s">
        <v>1</v>
      </c>
      <c r="F1" s="11"/>
      <c r="G1" s="11"/>
      <c r="I1" s="11" t="s">
        <v>6</v>
      </c>
      <c r="J1" s="11"/>
      <c r="K1" s="11"/>
      <c r="L1" s="11"/>
      <c r="N1" s="11" t="s">
        <v>9</v>
      </c>
      <c r="O1" s="11"/>
      <c r="P1" s="11"/>
      <c r="Q1" s="11"/>
      <c r="R1" s="11"/>
      <c r="T1" s="11" t="s">
        <v>16</v>
      </c>
      <c r="U1" s="11"/>
      <c r="V1" s="11"/>
      <c r="W1" s="11"/>
    </row>
    <row r="2" spans="1:23" ht="28.8" x14ac:dyDescent="0.3">
      <c r="A2" s="5" t="s">
        <v>17</v>
      </c>
      <c r="B2" s="8" t="s">
        <v>18</v>
      </c>
      <c r="C2" s="10" t="s">
        <v>23</v>
      </c>
      <c r="E2" s="5" t="s">
        <v>24</v>
      </c>
      <c r="F2" s="8" t="s">
        <v>25</v>
      </c>
      <c r="G2" s="5" t="s">
        <v>26</v>
      </c>
      <c r="I2" s="5" t="s">
        <v>17</v>
      </c>
      <c r="J2" s="5" t="s">
        <v>31</v>
      </c>
      <c r="K2" s="5" t="s">
        <v>32</v>
      </c>
      <c r="L2" s="5" t="s">
        <v>41</v>
      </c>
      <c r="N2" s="5" t="s">
        <v>42</v>
      </c>
      <c r="O2" s="5" t="s">
        <v>43</v>
      </c>
      <c r="P2" s="5" t="s">
        <v>44</v>
      </c>
      <c r="Q2" s="5" t="s">
        <v>45</v>
      </c>
      <c r="R2" s="5" t="s">
        <v>46</v>
      </c>
      <c r="T2" s="5" t="s">
        <v>17</v>
      </c>
      <c r="U2" s="5" t="s">
        <v>55</v>
      </c>
      <c r="V2" s="5" t="s">
        <v>56</v>
      </c>
      <c r="W2" s="5" t="s">
        <v>61</v>
      </c>
    </row>
    <row r="3" spans="1:23" ht="14.4" customHeight="1" x14ac:dyDescent="0.3">
      <c r="A3" s="4" t="s">
        <v>19</v>
      </c>
      <c r="B3" s="9">
        <v>650</v>
      </c>
      <c r="C3" t="str">
        <f>IF(B3&gt;=500,"HIGH VALUE","REGULAR")</f>
        <v>HIGH VALUE</v>
      </c>
      <c r="E3" s="4" t="s">
        <v>27</v>
      </c>
      <c r="F3" s="7">
        <v>1200</v>
      </c>
      <c r="G3" s="4" t="str">
        <f>IF(F3&gt;=1000,"Star",IF(F3&gt;=700,"Pro",IF(F3&gt;=400,"Rising","Newbie")))</f>
        <v>Star</v>
      </c>
      <c r="I3" s="4" t="s">
        <v>33</v>
      </c>
      <c r="J3" s="4" t="s">
        <v>34</v>
      </c>
      <c r="K3" s="4" t="s">
        <v>35</v>
      </c>
      <c r="L3" t="str">
        <f>IF(AND(J3="Prepaid",K3="Delivered"),"Eligible","Not Eligible")</f>
        <v>Eligible</v>
      </c>
      <c r="N3" s="4" t="s">
        <v>47</v>
      </c>
      <c r="O3" s="4" t="s">
        <v>48</v>
      </c>
      <c r="P3" s="4" t="b">
        <v>1</v>
      </c>
      <c r="Q3" s="4" t="b">
        <v>0</v>
      </c>
      <c r="R3" s="4" t="str">
        <f>IF(OR(P3=TRUE,Q3=TRUE),"Quick Access","Normal")</f>
        <v>Quick Access</v>
      </c>
      <c r="T3" s="4" t="s">
        <v>57</v>
      </c>
      <c r="U3" s="4" t="b">
        <v>1</v>
      </c>
      <c r="V3" s="4" t="b">
        <v>0</v>
      </c>
      <c r="W3" t="str">
        <f>IF(_xlfn.XOR(U3,V3),"Suspicious","Normal")</f>
        <v>Suspicious</v>
      </c>
    </row>
    <row r="4" spans="1:23" ht="28.8" x14ac:dyDescent="0.3">
      <c r="A4" s="4" t="s">
        <v>20</v>
      </c>
      <c r="B4" s="9">
        <v>350</v>
      </c>
      <c r="C4" t="str">
        <f t="shared" ref="C4:C6" si="0">IF(B4&gt;=500,"HIGH VALUE","REGULAR")</f>
        <v>REGULAR</v>
      </c>
      <c r="E4" s="4" t="s">
        <v>28</v>
      </c>
      <c r="F4" s="7">
        <v>850</v>
      </c>
      <c r="G4" s="4" t="str">
        <f t="shared" ref="G4:G6" si="1">IF(F4&gt;=1000,"Star",IF(F4&gt;=700,"Pro",IF(F4&gt;=400,"Rising","Newbie")))</f>
        <v>Pro</v>
      </c>
      <c r="I4" s="4" t="s">
        <v>36</v>
      </c>
      <c r="J4" s="4" t="s">
        <v>37</v>
      </c>
      <c r="K4" s="4" t="s">
        <v>35</v>
      </c>
      <c r="L4" t="str">
        <f t="shared" ref="L4:L5" si="2">IF(AND(J4="Prepaid",K4="Delivered"),"Eligible","Not Eligible")</f>
        <v>Not Eligible</v>
      </c>
      <c r="N4" s="4" t="s">
        <v>49</v>
      </c>
      <c r="O4" s="4" t="s">
        <v>50</v>
      </c>
      <c r="P4" s="4" t="b">
        <v>0</v>
      </c>
      <c r="Q4" s="4" t="b">
        <v>1</v>
      </c>
      <c r="R4" s="4" t="str">
        <f t="shared" ref="R4:R6" si="3">IF(OR(P4=TRUE,Q4=TRUE),"Quick Access","Normal")</f>
        <v>Quick Access</v>
      </c>
      <c r="T4" s="4" t="s">
        <v>58</v>
      </c>
      <c r="U4" s="4" t="b">
        <v>0</v>
      </c>
      <c r="V4" s="4" t="b">
        <v>1</v>
      </c>
      <c r="W4" t="str">
        <f t="shared" ref="W4:W6" si="4">IF(_xlfn.XOR(U4,V4),"Suspicious","Normal")</f>
        <v>Suspicious</v>
      </c>
    </row>
    <row r="5" spans="1:23" ht="28.8" customHeight="1" x14ac:dyDescent="0.3">
      <c r="A5" s="4" t="s">
        <v>21</v>
      </c>
      <c r="B5" s="9">
        <v>500</v>
      </c>
      <c r="C5" t="str">
        <f t="shared" si="0"/>
        <v>HIGH VALUE</v>
      </c>
      <c r="E5" s="4" t="s">
        <v>29</v>
      </c>
      <c r="F5" s="7">
        <v>550</v>
      </c>
      <c r="G5" s="4" t="str">
        <f t="shared" si="1"/>
        <v>Rising</v>
      </c>
      <c r="I5" s="4" t="s">
        <v>38</v>
      </c>
      <c r="J5" s="4" t="s">
        <v>34</v>
      </c>
      <c r="K5" s="4" t="s">
        <v>39</v>
      </c>
      <c r="L5" t="str">
        <f t="shared" si="2"/>
        <v>Not Eligible</v>
      </c>
      <c r="N5" s="4" t="s">
        <v>51</v>
      </c>
      <c r="O5" s="4" t="s">
        <v>52</v>
      </c>
      <c r="P5" s="4" t="b">
        <v>0</v>
      </c>
      <c r="Q5" s="4" t="b">
        <v>0</v>
      </c>
      <c r="R5" s="4" t="str">
        <f t="shared" si="3"/>
        <v>Normal</v>
      </c>
      <c r="T5" s="4" t="s">
        <v>59</v>
      </c>
      <c r="U5" s="4" t="b">
        <v>1</v>
      </c>
      <c r="V5" s="4" t="b">
        <v>1</v>
      </c>
      <c r="W5" t="str">
        <f t="shared" si="4"/>
        <v>Normal</v>
      </c>
    </row>
    <row r="6" spans="1:23" ht="28.8" x14ac:dyDescent="0.3">
      <c r="A6" s="4" t="s">
        <v>22</v>
      </c>
      <c r="B6" s="9">
        <v>275</v>
      </c>
      <c r="C6" t="str">
        <f t="shared" si="0"/>
        <v>REGULAR</v>
      </c>
      <c r="E6" s="4" t="s">
        <v>30</v>
      </c>
      <c r="F6" s="7">
        <v>250</v>
      </c>
      <c r="G6" s="4" t="str">
        <f t="shared" si="1"/>
        <v>Newbie</v>
      </c>
      <c r="I6" s="4" t="s">
        <v>40</v>
      </c>
      <c r="J6" s="4" t="s">
        <v>37</v>
      </c>
      <c r="K6" s="4" t="s">
        <v>39</v>
      </c>
      <c r="L6" t="str">
        <f>IF(AND(J6="Prepaid",K6="Delivered"),"Eligible","Not Eligible")</f>
        <v>Not Eligible</v>
      </c>
      <c r="N6" s="4" t="s">
        <v>53</v>
      </c>
      <c r="O6" s="4" t="s">
        <v>54</v>
      </c>
      <c r="P6" s="4" t="b">
        <v>1</v>
      </c>
      <c r="Q6" s="4" t="b">
        <v>1</v>
      </c>
      <c r="R6" s="4" t="str">
        <f t="shared" si="3"/>
        <v>Quick Access</v>
      </c>
      <c r="T6" s="4" t="s">
        <v>60</v>
      </c>
      <c r="U6" s="4" t="b">
        <v>0</v>
      </c>
      <c r="V6" s="4" t="b">
        <v>0</v>
      </c>
      <c r="W6" t="str">
        <f t="shared" si="4"/>
        <v>Normal</v>
      </c>
    </row>
  </sheetData>
  <mergeCells count="5">
    <mergeCell ref="A1:C1"/>
    <mergeCell ref="E1:G1"/>
    <mergeCell ref="I1:L1"/>
    <mergeCell ref="N1:R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SESSION7</vt:lpstr>
      <vt:lpstr>SESSION8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Shah</dc:creator>
  <cp:lastModifiedBy>Diya Shah</cp:lastModifiedBy>
  <dcterms:created xsi:type="dcterms:W3CDTF">2015-06-05T18:17:20Z</dcterms:created>
  <dcterms:modified xsi:type="dcterms:W3CDTF">2026-08-25T10:19:45Z</dcterms:modified>
</cp:coreProperties>
</file>