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a2020e7177c1c5/Documents/"/>
    </mc:Choice>
  </mc:AlternateContent>
  <xr:revisionPtr revIDLastSave="167" documentId="8_{952EBC1B-A08B-42A4-8EF7-28FE2E78D54F}" xr6:coauthVersionLast="47" xr6:coauthVersionMax="47" xr10:uidLastSave="{AD6D1721-1A15-42C2-960E-E2F18381C6E9}"/>
  <bookViews>
    <workbookView xWindow="-108" yWindow="-108" windowWidth="23256" windowHeight="12456" xr2:uid="{963F408A-A89F-4F9F-BBFC-08B657ABB882}"/>
  </bookViews>
  <sheets>
    <sheet name="Session2" sheetId="4" r:id="rId1"/>
    <sheet name="SESSION4" sheetId="5" r:id="rId2"/>
  </sheets>
  <definedNames>
    <definedName name="_xlnm._FilterDatabase" localSheetId="1" hidden="1">SESSION4!$V$2:$Z$12</definedName>
    <definedName name="TopArtists">Session2!$L$2:$L$7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5" l="1" a="1"/>
  <c r="H25" i="5" s="1"/>
  <c r="A20" i="5" a="1"/>
  <c r="A20" i="5" s="1"/>
  <c r="L8" i="4"/>
  <c r="I5" i="4"/>
  <c r="I6" i="4"/>
  <c r="I7" i="4"/>
  <c r="I8" i="4"/>
  <c r="I9" i="4"/>
  <c r="I4" i="4"/>
  <c r="C5" i="4"/>
  <c r="C6" i="4"/>
  <c r="C7" i="4"/>
  <c r="C8" i="4"/>
  <c r="C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<sst xmlns="http://schemas.openxmlformats.org/spreadsheetml/2006/main" count="325" uniqueCount="203">
  <si>
    <t>Ed Sheeran</t>
  </si>
  <si>
    <t>Arijit Singh</t>
  </si>
  <si>
    <t>Taylor Swift</t>
  </si>
  <si>
    <t>Shreya Ghoshal</t>
  </si>
  <si>
    <t>A</t>
  </si>
  <si>
    <t>B</t>
  </si>
  <si>
    <t>C</t>
  </si>
  <si>
    <t>App</t>
  </si>
  <si>
    <t>Rating</t>
  </si>
  <si>
    <t>Rating %</t>
  </si>
  <si>
    <t>Zomato</t>
  </si>
  <si>
    <t>Swiggy</t>
  </si>
  <si>
    <t>Uber Eats</t>
  </si>
  <si>
    <t>Domino's</t>
  </si>
  <si>
    <t>Foodpanda</t>
  </si>
  <si>
    <t>Max</t>
  </si>
  <si>
    <t>Team</t>
  </si>
  <si>
    <t>Wins</t>
  </si>
  <si>
    <t>Bonus</t>
  </si>
  <si>
    <t>MI</t>
  </si>
  <si>
    <t>CSK</t>
  </si>
  <si>
    <t>RCB</t>
  </si>
  <si>
    <t>SRH</t>
  </si>
  <si>
    <t>RR</t>
  </si>
  <si>
    <t>GT</t>
  </si>
  <si>
    <t>bonus</t>
  </si>
  <si>
    <t>Justin Bieber</t>
  </si>
  <si>
    <t>TASK 1</t>
  </si>
  <si>
    <t>Order ID</t>
  </si>
  <si>
    <t>Restaurant Name</t>
  </si>
  <si>
    <t>Amount</t>
  </si>
  <si>
    <t>City</t>
  </si>
  <si>
    <t>OD101</t>
  </si>
  <si>
    <t>Swiggy Meals</t>
  </si>
  <si>
    <t>Ahmedabad</t>
  </si>
  <si>
    <t>OD102</t>
  </si>
  <si>
    <t>Spice Hub</t>
  </si>
  <si>
    <t>Mumbai</t>
  </si>
  <si>
    <t>OD103</t>
  </si>
  <si>
    <t>Food Corner</t>
  </si>
  <si>
    <t>OD104</t>
  </si>
  <si>
    <t>Pizza Point</t>
  </si>
  <si>
    <t>OD105</t>
  </si>
  <si>
    <t>Burger House</t>
  </si>
  <si>
    <t>Surat</t>
  </si>
  <si>
    <t>OD106</t>
  </si>
  <si>
    <t>Tasty Bites</t>
  </si>
  <si>
    <t>OD107</t>
  </si>
  <si>
    <t>Urban Kitchen</t>
  </si>
  <si>
    <t>Vadodara</t>
  </si>
  <si>
    <t>OD108</t>
  </si>
  <si>
    <t>Cafe Delight</t>
  </si>
  <si>
    <t>OD109</t>
  </si>
  <si>
    <t>Wrap Station</t>
  </si>
  <si>
    <t>OD110</t>
  </si>
  <si>
    <t>Royal Dine</t>
  </si>
  <si>
    <t>Rajkot</t>
  </si>
  <si>
    <t>OD111</t>
  </si>
  <si>
    <t>Food Express</t>
  </si>
  <si>
    <t>OD112</t>
  </si>
  <si>
    <t>The Meal Box</t>
  </si>
  <si>
    <t>OD113</t>
  </si>
  <si>
    <t>Indian Rasoi</t>
  </si>
  <si>
    <t>OD114</t>
  </si>
  <si>
    <t>Pizza Palace</t>
  </si>
  <si>
    <t>OD115</t>
  </si>
  <si>
    <t>Fresh Eats</t>
  </si>
  <si>
    <t>RESULT:-</t>
  </si>
  <si>
    <t>TASK 2</t>
  </si>
  <si>
    <t>Order No</t>
  </si>
  <si>
    <t>Product</t>
  </si>
  <si>
    <t>Price</t>
  </si>
  <si>
    <t>Payment Method</t>
  </si>
  <si>
    <t>Status</t>
  </si>
  <si>
    <t>O101</t>
  </si>
  <si>
    <t>Laptop</t>
  </si>
  <si>
    <t>UPI</t>
  </si>
  <si>
    <t>Delivered</t>
  </si>
  <si>
    <t>O102</t>
  </si>
  <si>
    <t>Mouse</t>
  </si>
  <si>
    <t>Card</t>
  </si>
  <si>
    <t>O103</t>
  </si>
  <si>
    <t>Keyboard</t>
  </si>
  <si>
    <t>Shipped</t>
  </si>
  <si>
    <t>O104</t>
  </si>
  <si>
    <t>Headphones</t>
  </si>
  <si>
    <t>Cash</t>
  </si>
  <si>
    <t>O105</t>
  </si>
  <si>
    <t>Monitor</t>
  </si>
  <si>
    <t>Pending</t>
  </si>
  <si>
    <t>O106</t>
  </si>
  <si>
    <t>Webcam</t>
  </si>
  <si>
    <t>O107</t>
  </si>
  <si>
    <t>Speaker</t>
  </si>
  <si>
    <t>O108</t>
  </si>
  <si>
    <t>Mobile</t>
  </si>
  <si>
    <t>Processing</t>
  </si>
  <si>
    <t>O109</t>
  </si>
  <si>
    <t>Tablet</t>
  </si>
  <si>
    <t>O110</t>
  </si>
  <si>
    <t>Charger</t>
  </si>
  <si>
    <t>O111</t>
  </si>
  <si>
    <t>Smartwatch</t>
  </si>
  <si>
    <t>O112</t>
  </si>
  <si>
    <t>Power Bank</t>
  </si>
  <si>
    <t>O113</t>
  </si>
  <si>
    <t>Earbuds</t>
  </si>
  <si>
    <t>O114</t>
  </si>
  <si>
    <t>Cancelled</t>
  </si>
  <si>
    <t>O115</t>
  </si>
  <si>
    <t>Laptop Bag</t>
  </si>
  <si>
    <t>O116</t>
  </si>
  <si>
    <t>Printer</t>
  </si>
  <si>
    <t>O117</t>
  </si>
  <si>
    <t>SSD</t>
  </si>
  <si>
    <t>O118</t>
  </si>
  <si>
    <t>USB Cable</t>
  </si>
  <si>
    <t>O119</t>
  </si>
  <si>
    <t>Camera</t>
  </si>
  <si>
    <t>O120</t>
  </si>
  <si>
    <t>Router</t>
  </si>
  <si>
    <t>TASK 3</t>
  </si>
  <si>
    <t>Booking ID</t>
  </si>
  <si>
    <t>Movie Name</t>
  </si>
  <si>
    <t>Region</t>
  </si>
  <si>
    <t>Seats Booked</t>
  </si>
  <si>
    <t>Total Amount</t>
  </si>
  <si>
    <t>B101</t>
  </si>
  <si>
    <t>Avengers</t>
  </si>
  <si>
    <t>West</t>
  </si>
  <si>
    <t>B102</t>
  </si>
  <si>
    <t>Avatar</t>
  </si>
  <si>
    <t>North</t>
  </si>
  <si>
    <t>B103</t>
  </si>
  <si>
    <t>Dangal</t>
  </si>
  <si>
    <t>B104</t>
  </si>
  <si>
    <t>Jawan</t>
  </si>
  <si>
    <t>South</t>
  </si>
  <si>
    <t>B105</t>
  </si>
  <si>
    <t>Pathaan</t>
  </si>
  <si>
    <t>B106</t>
  </si>
  <si>
    <t>Animal</t>
  </si>
  <si>
    <t>B107</t>
  </si>
  <si>
    <t>RRR</t>
  </si>
  <si>
    <t>East</t>
  </si>
  <si>
    <t>B108</t>
  </si>
  <si>
    <t>3 Idiots</t>
  </si>
  <si>
    <t>B109</t>
  </si>
  <si>
    <t>Pushpa</t>
  </si>
  <si>
    <t>B110</t>
  </si>
  <si>
    <t>KGF</t>
  </si>
  <si>
    <t>B111</t>
  </si>
  <si>
    <t>Drishyam</t>
  </si>
  <si>
    <t>B112</t>
  </si>
  <si>
    <t>Brahmastra</t>
  </si>
  <si>
    <t>TASK1</t>
  </si>
  <si>
    <t>TASK2</t>
  </si>
  <si>
    <t>TASK3</t>
  </si>
  <si>
    <t>TASK4</t>
  </si>
  <si>
    <t>Campaign ID</t>
  </si>
  <si>
    <t>Influencer Name</t>
  </si>
  <si>
    <t>Followers</t>
  </si>
  <si>
    <t>Engagement Rate</t>
  </si>
  <si>
    <t>Platform</t>
  </si>
  <si>
    <t>C001</t>
  </si>
  <si>
    <t>Aisha Khan</t>
  </si>
  <si>
    <t>Instagram</t>
  </si>
  <si>
    <t>C002</t>
  </si>
  <si>
    <t>Rohan Mehta</t>
  </si>
  <si>
    <t>YouTube</t>
  </si>
  <si>
    <t>C003</t>
  </si>
  <si>
    <t>Neha Sharma</t>
  </si>
  <si>
    <t>C004</t>
  </si>
  <si>
    <t>Arjun Patel</t>
  </si>
  <si>
    <t>C005</t>
  </si>
  <si>
    <t>Priya Shah</t>
  </si>
  <si>
    <t>C006</t>
  </si>
  <si>
    <t>Kabir Singh</t>
  </si>
  <si>
    <t>C007</t>
  </si>
  <si>
    <t>Ananya Joshi</t>
  </si>
  <si>
    <t>C008</t>
  </si>
  <si>
    <t>Dev Malhotra</t>
  </si>
  <si>
    <t>C009</t>
  </si>
  <si>
    <t>Meera Desai</t>
  </si>
  <si>
    <t>C010</t>
  </si>
  <si>
    <t>Rahul Verma</t>
  </si>
  <si>
    <t>ENGAGEMENT ABOVE 5%</t>
  </si>
  <si>
    <t>PLATFORM=YOUTUBE</t>
  </si>
  <si>
    <t>TASK 4</t>
  </si>
  <si>
    <t>Transaction ID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</si>
  <si>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</si>
  <si>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</si>
  <si>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</si>
  <si>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</si>
  <si>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</si>
  <si>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</si>
  <si>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</si>
  <si>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</si>
  <si>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</si>
  <si>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</si>
  <si>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Debit Card</t>
  </si>
  <si>
    <t>Wallet</t>
  </si>
  <si>
    <t>TASK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</si>
</sst>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6A07-FDF4-4A94-A4D6-1391175E2851}">
  <dimension ref="A1:V13"/>
  <sheetViews>
    <sheetView tabSelected="1" workbookViewId="0">
      <selection activeCell="S2" sqref="S2"/>
    </sheetView>
  </sheetViews>
  <sheetFormatPr defaultRowHeight="14.4" x14ac:dyDescent="0.3"/>
  <sheetData>
    <row r="1" spans="1:22" x14ac:dyDescent="0.3">
      <c r="A1" s="5" t="s">
        <v>155</v>
      </c>
      <c r="B1" s="5"/>
      <c r="C1" s="5"/>
      <c r="G1" s="5" t="s">
        <v>156</v>
      </c>
      <c r="H1" s="5"/>
      <c r="I1" s="5"/>
      <c r="L1" t="s">
        <v>157</v>
      </c>
      <c r="O1" s="5" t="s">
        <v>188</v>
      </c>
      <c r="P1" s="5"/>
      <c r="Q1" s="5"/>
      <c r="R1" s="5"/>
      <c r="S1" s="5" t="s">
        <v>202</v>
      </c>
      <c r="T1" s="5"/>
      <c r="U1" s="5"/>
      <c r="V1" s="5"/>
    </row>
    <row r="2" spans="1:22" x14ac:dyDescent="0.3">
      <c r="A2" s="1" t="s">
        <v>4</v>
      </c>
      <c r="B2" s="3" t="s">
        <v>5</v>
      </c>
      <c r="C2" s="1" t="s">
        <v>6</v>
      </c>
      <c r="G2" s="1" t="s">
        <v>4</v>
      </c>
      <c r="H2" s="3" t="s">
        <v>5</v>
      </c>
      <c r="I2" s="3" t="s">
        <v>6</v>
      </c>
      <c r="L2" s="1" t="s">
        <v>4</v>
      </c>
      <c r="O2" s="1" t="s">
        <v>4</v>
      </c>
      <c r="P2" s="1" t="s">
        <v>5</v>
      </c>
    </row>
    <row r="3" spans="1:22" ht="28.8" x14ac:dyDescent="0.3">
      <c r="A3" s="4" t="s">
        <v>7</v>
      </c>
      <c r="B3" s="2" t="s">
        <v>8</v>
      </c>
      <c r="C3" s="4" t="s">
        <v>9</v>
      </c>
      <c r="G3" s="4" t="s">
        <v>16</v>
      </c>
      <c r="H3" s="2" t="s">
        <v>17</v>
      </c>
      <c r="I3" s="2" t="s">
        <v>18</v>
      </c>
      <c r="L3" s="4" t="s">
        <v>2</v>
      </c>
      <c r="O3" s="4" t="s">
        <v>189</v>
      </c>
      <c r="P3" s="4" t="s">
        <v>72</v>
      </c>
    </row>
    <row r="4" spans="1:22" ht="28.8" x14ac:dyDescent="0.3">
      <c r="A4" s="4" t="s">
        <v>10</v>
      </c>
      <c r="B4" s="2">
        <v>4.5</v>
      </c>
      <c r="C4" s="4">
        <f>B4/$B$10*100</f>
        <v>90</v>
      </c>
      <c r="G4" s="4" t="s">
        <v>19</v>
      </c>
      <c r="H4" s="2">
        <v>5</v>
      </c>
      <c r="I4" s="2">
        <f>H4*$H$11</f>
        <v>50</v>
      </c>
      <c r="L4" s="4" t="s">
        <v>1</v>
      </c>
      <c r="O4" s="4" t="s">
        <v>190</v>
      </c>
      <c r="P4" s="4" t="s">
        <v>200</v>
      </c>
    </row>
    <row r="5" spans="1:22" ht="28.8" x14ac:dyDescent="0.3">
      <c r="A5" s="4" t="s">
        <v>11</v>
      </c>
      <c r="B5" s="2">
        <v>4.3</v>
      </c>
      <c r="C5" s="4">
        <f t="shared" ref="C5:C8" si="0">B5/$B$10*100</f>
        <v>86</v>
      </c>
      <c r="G5" s="4" t="s">
        <v>20</v>
      </c>
      <c r="H5" s="2">
        <v>6</v>
      </c>
      <c r="I5" s="2">
        <f t="shared" ref="I5:I9" si="1">H5*$H$11</f>
        <v>60</v>
      </c>
      <c r="L5" s="4" t="s">
        <v>0</v>
      </c>
      <c r="O5" s="4" t="s">
        <v>191</v>
      </c>
      <c r="P5" s="4"/>
    </row>
    <row r="6" spans="1:22" ht="28.8" x14ac:dyDescent="0.3">
      <c r="A6" s="4" t="s">
        <v>12</v>
      </c>
      <c r="B6" s="2">
        <v>4</v>
      </c>
      <c r="C6" s="4">
        <f t="shared" si="0"/>
        <v>80</v>
      </c>
      <c r="G6" s="4" t="s">
        <v>21</v>
      </c>
      <c r="H6" s="2">
        <v>4</v>
      </c>
      <c r="I6" s="2">
        <f t="shared" si="1"/>
        <v>40</v>
      </c>
      <c r="L6" s="4" t="s">
        <v>3</v>
      </c>
      <c r="O6" s="4" t="s">
        <v>192</v>
      </c>
      <c r="P6" s="4" t="s">
        <v>201</v>
      </c>
    </row>
    <row r="7" spans="1:22" ht="28.8" x14ac:dyDescent="0.3">
      <c r="A7" s="4" t="s">
        <v>13</v>
      </c>
      <c r="B7" s="2">
        <v>4.2</v>
      </c>
      <c r="C7" s="4">
        <f t="shared" si="0"/>
        <v>84.000000000000014</v>
      </c>
      <c r="G7" s="4" t="s">
        <v>24</v>
      </c>
      <c r="H7" s="2">
        <v>7</v>
      </c>
      <c r="I7" s="2">
        <f t="shared" si="1"/>
        <v>70</v>
      </c>
      <c r="L7" s="4" t="s">
        <v>26</v>
      </c>
      <c r="O7" s="4" t="s">
        <v>193</v>
      </c>
      <c r="P7" s="4"/>
    </row>
    <row r="8" spans="1:22" ht="28.8" x14ac:dyDescent="0.3">
      <c r="A8" s="4" t="s">
        <v>14</v>
      </c>
      <c r="B8" s="2">
        <v>3.8</v>
      </c>
      <c r="C8" s="4">
        <f t="shared" si="0"/>
        <v>76</v>
      </c>
      <c r="G8" s="4" t="s">
        <v>22</v>
      </c>
      <c r="H8" s="2">
        <v>5</v>
      </c>
      <c r="I8" s="2">
        <f t="shared" si="1"/>
        <v>50</v>
      </c>
      <c r="L8">
        <f>COUNTA(TopArtists)</f>
        <v>6</v>
      </c>
      <c r="O8" s="4" t="s">
        <v>194</v>
      </c>
      <c r="P8" s="4"/>
    </row>
    <row r="9" spans="1:22" x14ac:dyDescent="0.3">
      <c r="G9" s="4" t="s">
        <v>23</v>
      </c>
      <c r="H9" s="2">
        <v>6</v>
      </c>
      <c r="I9" s="2">
        <f t="shared" si="1"/>
        <v>60</v>
      </c>
      <c r="O9" s="4" t="s">
        <v>195</v>
      </c>
      <c r="P9" s="4"/>
    </row>
    <row r="10" spans="1:22" x14ac:dyDescent="0.3">
      <c r="A10" s="4" t="s">
        <v>15</v>
      </c>
      <c r="B10" s="2">
        <v>5</v>
      </c>
      <c r="O10" s="4" t="s">
        <v>196</v>
      </c>
      <c r="P10" s="4"/>
    </row>
    <row r="11" spans="1:22" x14ac:dyDescent="0.3">
      <c r="G11" s="4" t="s">
        <v>25</v>
      </c>
      <c r="H11" s="2">
        <v>10</v>
      </c>
      <c r="O11" s="4" t="s">
        <v>197</v>
      </c>
      <c r="P11" s="4"/>
    </row>
    <row r="12" spans="1:22" x14ac:dyDescent="0.3">
      <c r="O12" s="4" t="s">
        <v>198</v>
      </c>
      <c r="P12" s="4"/>
    </row>
    <row r="13" spans="1:22" x14ac:dyDescent="0.3">
      <c r="O13" s="4" t="s">
        <v>199</v>
      </c>
      <c r="P13" s="4"/>
    </row>
  </sheetData>
  <mergeCells count="4">
    <mergeCell ref="A1:C1"/>
    <mergeCell ref="G1:I1"/>
    <mergeCell ref="O1:R1"/>
    <mergeCell ref="S1:V1"/>
  </mergeCells>
  <dataValidations count="1">
    <dataValidation type="list" allowBlank="1" showInputMessage="1" showErrorMessage="1" sqref="P4:P13" xr:uid="{52292294-4C5B-4B37-851A-7A6FB5BAFC48}">
      <formula1>"UPI,Credit Card,Debit Card,Wallet,Net Banking"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CFCA2-36C4-4F7C-AD9B-5885445DBF98}">
  <dimension ref="A1:AA39"/>
  <sheetViews>
    <sheetView workbookViewId="0">
      <selection activeCell="V2" sqref="V2"/>
    </sheetView>
  </sheetViews>
  <sheetFormatPr defaultRowHeight="14.4" x14ac:dyDescent="0.3"/>
  <cols>
    <col min="2" max="2" width="11.33203125" customWidth="1"/>
    <col min="4" max="4" width="13.109375" customWidth="1"/>
  </cols>
  <sheetData>
    <row r="1" spans="1:27" x14ac:dyDescent="0.3">
      <c r="A1" s="5" t="s">
        <v>27</v>
      </c>
      <c r="B1" s="5"/>
      <c r="C1" s="5"/>
      <c r="D1" s="5"/>
      <c r="H1" s="5" t="s">
        <v>68</v>
      </c>
      <c r="I1" s="5"/>
      <c r="J1" s="5"/>
      <c r="K1" s="5"/>
      <c r="L1" s="5"/>
      <c r="O1" s="5" t="s">
        <v>121</v>
      </c>
      <c r="P1" s="5"/>
      <c r="Q1" s="5"/>
      <c r="R1" s="5"/>
      <c r="S1" s="5"/>
      <c r="V1" s="5" t="s">
        <v>158</v>
      </c>
      <c r="W1" s="5"/>
      <c r="X1" s="5"/>
      <c r="Y1" s="5"/>
      <c r="Z1" s="5"/>
    </row>
    <row r="2" spans="1:27" ht="28.8" x14ac:dyDescent="0.3">
      <c r="A2" s="1" t="s">
        <v>28</v>
      </c>
      <c r="B2" s="1" t="s">
        <v>29</v>
      </c>
      <c r="C2" s="3" t="s">
        <v>30</v>
      </c>
      <c r="D2" s="1" t="s">
        <v>31</v>
      </c>
      <c r="H2" s="1" t="s">
        <v>69</v>
      </c>
      <c r="I2" s="1" t="s">
        <v>70</v>
      </c>
      <c r="J2" s="3" t="s">
        <v>71</v>
      </c>
      <c r="K2" s="1" t="s">
        <v>72</v>
      </c>
      <c r="L2" s="1" t="s">
        <v>73</v>
      </c>
      <c r="O2" s="1" t="s">
        <v>122</v>
      </c>
      <c r="P2" s="1" t="s">
        <v>123</v>
      </c>
      <c r="Q2" s="1" t="s">
        <v>124</v>
      </c>
      <c r="R2" s="3" t="s">
        <v>125</v>
      </c>
      <c r="S2" s="3" t="s">
        <v>126</v>
      </c>
      <c r="V2" s="1" t="s">
        <v>159</v>
      </c>
      <c r="W2" s="1" t="s">
        <v>160</v>
      </c>
      <c r="X2" s="3" t="s">
        <v>161</v>
      </c>
      <c r="Y2" s="3" t="s">
        <v>162</v>
      </c>
      <c r="Z2" s="1" t="s">
        <v>163</v>
      </c>
    </row>
    <row r="3" spans="1:27" ht="28.8" x14ac:dyDescent="0.3">
      <c r="A3" s="4" t="s">
        <v>32</v>
      </c>
      <c r="B3" s="4" t="s">
        <v>33</v>
      </c>
      <c r="C3" s="2">
        <v>950</v>
      </c>
      <c r="D3" s="4" t="s">
        <v>34</v>
      </c>
      <c r="H3" s="4" t="s">
        <v>74</v>
      </c>
      <c r="I3" s="4" t="s">
        <v>75</v>
      </c>
      <c r="J3" s="2">
        <v>55000</v>
      </c>
      <c r="K3" s="4" t="s">
        <v>76</v>
      </c>
      <c r="L3" s="4" t="s">
        <v>77</v>
      </c>
      <c r="O3" s="4" t="s">
        <v>127</v>
      </c>
      <c r="P3" s="4" t="s">
        <v>128</v>
      </c>
      <c r="Q3" s="4" t="s">
        <v>129</v>
      </c>
      <c r="R3" s="2">
        <v>4</v>
      </c>
      <c r="S3" s="2">
        <v>1400</v>
      </c>
      <c r="V3" s="4" t="s">
        <v>164</v>
      </c>
      <c r="W3" s="4" t="s">
        <v>165</v>
      </c>
      <c r="X3" s="2">
        <v>125000</v>
      </c>
      <c r="Y3" s="6">
        <v>6.2E-2</v>
      </c>
      <c r="Z3" s="4" t="s">
        <v>166</v>
      </c>
    </row>
    <row r="4" spans="1:27" ht="28.8" customHeight="1" x14ac:dyDescent="0.3">
      <c r="A4" s="4" t="s">
        <v>35</v>
      </c>
      <c r="B4" s="4" t="s">
        <v>36</v>
      </c>
      <c r="C4" s="2">
        <v>720</v>
      </c>
      <c r="D4" s="4" t="s">
        <v>37</v>
      </c>
      <c r="H4" s="4" t="s">
        <v>78</v>
      </c>
      <c r="I4" s="4" t="s">
        <v>79</v>
      </c>
      <c r="J4" s="2">
        <v>800</v>
      </c>
      <c r="K4" s="4" t="s">
        <v>80</v>
      </c>
      <c r="L4" s="4" t="s">
        <v>77</v>
      </c>
      <c r="O4" s="4" t="s">
        <v>130</v>
      </c>
      <c r="P4" s="4" t="s">
        <v>131</v>
      </c>
      <c r="Q4" s="4" t="s">
        <v>132</v>
      </c>
      <c r="R4" s="2">
        <v>3</v>
      </c>
      <c r="S4" s="2">
        <v>900</v>
      </c>
      <c r="V4" s="4" t="s">
        <v>167</v>
      </c>
      <c r="W4" s="4" t="s">
        <v>168</v>
      </c>
      <c r="X4" s="2">
        <v>98000</v>
      </c>
      <c r="Y4" s="6">
        <v>4.8000000000000001E-2</v>
      </c>
      <c r="Z4" s="4" t="s">
        <v>169</v>
      </c>
    </row>
    <row r="5" spans="1:27" ht="28.8" customHeight="1" x14ac:dyDescent="0.3">
      <c r="A5" s="4" t="s">
        <v>38</v>
      </c>
      <c r="B5" s="4" t="s">
        <v>39</v>
      </c>
      <c r="C5" s="2">
        <v>1250</v>
      </c>
      <c r="D5" s="4" t="s">
        <v>34</v>
      </c>
      <c r="H5" s="4" t="s">
        <v>81</v>
      </c>
      <c r="I5" s="4" t="s">
        <v>82</v>
      </c>
      <c r="J5" s="2">
        <v>1500</v>
      </c>
      <c r="K5" s="4" t="s">
        <v>76</v>
      </c>
      <c r="L5" s="4" t="s">
        <v>83</v>
      </c>
      <c r="O5" s="4" t="s">
        <v>133</v>
      </c>
      <c r="P5" s="4" t="s">
        <v>134</v>
      </c>
      <c r="Q5" s="4" t="s">
        <v>129</v>
      </c>
      <c r="R5" s="2">
        <v>5</v>
      </c>
      <c r="S5" s="2">
        <v>1250</v>
      </c>
      <c r="V5" s="4" t="s">
        <v>170</v>
      </c>
      <c r="W5" s="4" t="s">
        <v>171</v>
      </c>
      <c r="X5" s="2">
        <v>210000</v>
      </c>
      <c r="Y5" s="6">
        <v>7.0999999999999994E-2</v>
      </c>
      <c r="Z5" s="4" t="s">
        <v>166</v>
      </c>
    </row>
    <row r="6" spans="1:27" ht="28.8" customHeight="1" x14ac:dyDescent="0.3">
      <c r="A6" s="4" t="s">
        <v>40</v>
      </c>
      <c r="B6" s="4" t="s">
        <v>41</v>
      </c>
      <c r="C6" s="2">
        <v>650</v>
      </c>
      <c r="D6" s="4" t="s">
        <v>34</v>
      </c>
      <c r="H6" s="4" t="s">
        <v>84</v>
      </c>
      <c r="I6" s="4" t="s">
        <v>85</v>
      </c>
      <c r="J6" s="2">
        <v>2500</v>
      </c>
      <c r="K6" s="4" t="s">
        <v>86</v>
      </c>
      <c r="L6" s="4" t="s">
        <v>77</v>
      </c>
      <c r="O6" s="4" t="s">
        <v>135</v>
      </c>
      <c r="P6" s="4" t="s">
        <v>136</v>
      </c>
      <c r="Q6" s="4" t="s">
        <v>137</v>
      </c>
      <c r="R6" s="2">
        <v>4</v>
      </c>
      <c r="S6" s="2">
        <v>1600</v>
      </c>
      <c r="V6" s="4" t="s">
        <v>172</v>
      </c>
      <c r="W6" s="4" t="s">
        <v>173</v>
      </c>
      <c r="X6" s="2">
        <v>156000</v>
      </c>
      <c r="Y6" s="6">
        <v>5.5E-2</v>
      </c>
      <c r="Z6" s="4" t="s">
        <v>169</v>
      </c>
    </row>
    <row r="7" spans="1:27" ht="28.8" x14ac:dyDescent="0.3">
      <c r="A7" s="4" t="s">
        <v>42</v>
      </c>
      <c r="B7" s="4" t="s">
        <v>43</v>
      </c>
      <c r="C7" s="2">
        <v>880</v>
      </c>
      <c r="D7" s="4" t="s">
        <v>44</v>
      </c>
      <c r="H7" s="4" t="s">
        <v>87</v>
      </c>
      <c r="I7" s="4" t="s">
        <v>88</v>
      </c>
      <c r="J7" s="2">
        <v>12000</v>
      </c>
      <c r="K7" s="4" t="s">
        <v>80</v>
      </c>
      <c r="L7" s="4" t="s">
        <v>89</v>
      </c>
      <c r="O7" s="4" t="s">
        <v>138</v>
      </c>
      <c r="P7" s="4" t="s">
        <v>139</v>
      </c>
      <c r="Q7" s="4" t="s">
        <v>129</v>
      </c>
      <c r="R7" s="2">
        <v>2</v>
      </c>
      <c r="S7" s="2">
        <v>700</v>
      </c>
      <c r="V7" s="4" t="s">
        <v>174</v>
      </c>
      <c r="W7" s="4" t="s">
        <v>175</v>
      </c>
      <c r="X7" s="2">
        <v>87000</v>
      </c>
      <c r="Y7" s="6">
        <v>3.9E-2</v>
      </c>
      <c r="Z7" s="4" t="s">
        <v>166</v>
      </c>
    </row>
    <row r="8" spans="1:27" ht="28.8" customHeight="1" x14ac:dyDescent="0.3">
      <c r="A8" s="4" t="s">
        <v>45</v>
      </c>
      <c r="B8" s="4" t="s">
        <v>46</v>
      </c>
      <c r="C8" s="2">
        <v>1100</v>
      </c>
      <c r="D8" s="4" t="s">
        <v>34</v>
      </c>
      <c r="H8" s="4" t="s">
        <v>90</v>
      </c>
      <c r="I8" s="4" t="s">
        <v>91</v>
      </c>
      <c r="J8" s="2">
        <v>3500</v>
      </c>
      <c r="K8" s="4" t="s">
        <v>76</v>
      </c>
      <c r="L8" s="4" t="s">
        <v>77</v>
      </c>
      <c r="O8" s="4" t="s">
        <v>140</v>
      </c>
      <c r="P8" s="4" t="s">
        <v>141</v>
      </c>
      <c r="Q8" s="4" t="s">
        <v>129</v>
      </c>
      <c r="R8" s="2">
        <v>6</v>
      </c>
      <c r="S8" s="2">
        <v>1800</v>
      </c>
      <c r="V8" s="4" t="s">
        <v>176</v>
      </c>
      <c r="W8" s="4" t="s">
        <v>177</v>
      </c>
      <c r="X8" s="2">
        <v>320000</v>
      </c>
      <c r="Y8" s="6">
        <v>6.8000000000000005E-2</v>
      </c>
      <c r="Z8" s="4" t="s">
        <v>169</v>
      </c>
    </row>
    <row r="9" spans="1:27" ht="28.8" x14ac:dyDescent="0.3">
      <c r="A9" s="4" t="s">
        <v>47</v>
      </c>
      <c r="B9" s="4" t="s">
        <v>48</v>
      </c>
      <c r="C9" s="2">
        <v>450</v>
      </c>
      <c r="D9" s="4" t="s">
        <v>49</v>
      </c>
      <c r="H9" s="4" t="s">
        <v>92</v>
      </c>
      <c r="I9" s="4" t="s">
        <v>93</v>
      </c>
      <c r="J9" s="2">
        <v>4500</v>
      </c>
      <c r="K9" s="4" t="s">
        <v>80</v>
      </c>
      <c r="L9" s="4" t="s">
        <v>83</v>
      </c>
      <c r="O9" s="4" t="s">
        <v>142</v>
      </c>
      <c r="P9" s="4" t="s">
        <v>143</v>
      </c>
      <c r="Q9" s="4" t="s">
        <v>144</v>
      </c>
      <c r="R9" s="2">
        <v>5</v>
      </c>
      <c r="S9" s="2">
        <v>1500</v>
      </c>
      <c r="V9" s="4" t="s">
        <v>178</v>
      </c>
      <c r="W9" s="4" t="s">
        <v>179</v>
      </c>
      <c r="X9" s="2">
        <v>145000</v>
      </c>
      <c r="Y9" s="6">
        <v>4.4999999999999998E-2</v>
      </c>
      <c r="Z9" s="4" t="s">
        <v>166</v>
      </c>
    </row>
    <row r="10" spans="1:27" ht="28.8" customHeight="1" x14ac:dyDescent="0.3">
      <c r="A10" s="4" t="s">
        <v>50</v>
      </c>
      <c r="B10" s="4" t="s">
        <v>51</v>
      </c>
      <c r="C10" s="2">
        <v>920</v>
      </c>
      <c r="D10" s="4" t="s">
        <v>34</v>
      </c>
      <c r="H10" s="4" t="s">
        <v>94</v>
      </c>
      <c r="I10" s="4" t="s">
        <v>95</v>
      </c>
      <c r="J10" s="2">
        <v>28000</v>
      </c>
      <c r="K10" s="4" t="s">
        <v>76</v>
      </c>
      <c r="L10" s="4" t="s">
        <v>96</v>
      </c>
      <c r="O10" s="4" t="s">
        <v>145</v>
      </c>
      <c r="P10" s="4" t="s">
        <v>146</v>
      </c>
      <c r="Q10" s="4" t="s">
        <v>129</v>
      </c>
      <c r="R10" s="2">
        <v>4</v>
      </c>
      <c r="S10" s="2">
        <v>1100</v>
      </c>
      <c r="V10" s="4" t="s">
        <v>180</v>
      </c>
      <c r="W10" s="4" t="s">
        <v>181</v>
      </c>
      <c r="X10" s="2">
        <v>190000</v>
      </c>
      <c r="Y10" s="6">
        <v>5.8999999999999997E-2</v>
      </c>
      <c r="Z10" s="4" t="s">
        <v>169</v>
      </c>
    </row>
    <row r="11" spans="1:27" ht="28.8" customHeight="1" x14ac:dyDescent="0.3">
      <c r="A11" s="4" t="s">
        <v>52</v>
      </c>
      <c r="B11" s="4" t="s">
        <v>53</v>
      </c>
      <c r="C11" s="2">
        <v>780</v>
      </c>
      <c r="D11" s="4" t="s">
        <v>34</v>
      </c>
      <c r="H11" s="4" t="s">
        <v>97</v>
      </c>
      <c r="I11" s="4" t="s">
        <v>98</v>
      </c>
      <c r="J11" s="2">
        <v>18000</v>
      </c>
      <c r="K11" s="4" t="s">
        <v>86</v>
      </c>
      <c r="L11" s="4" t="s">
        <v>77</v>
      </c>
      <c r="O11" s="4" t="s">
        <v>147</v>
      </c>
      <c r="P11" s="4" t="s">
        <v>148</v>
      </c>
      <c r="Q11" s="4" t="s">
        <v>132</v>
      </c>
      <c r="R11" s="2">
        <v>3</v>
      </c>
      <c r="S11" s="2">
        <v>1050</v>
      </c>
      <c r="V11" s="4" t="s">
        <v>182</v>
      </c>
      <c r="W11" s="4" t="s">
        <v>183</v>
      </c>
      <c r="X11" s="2">
        <v>76000</v>
      </c>
      <c r="Y11" s="6">
        <v>3.6999999999999998E-2</v>
      </c>
      <c r="Z11" s="4" t="s">
        <v>166</v>
      </c>
    </row>
    <row r="12" spans="1:27" ht="28.8" customHeight="1" x14ac:dyDescent="0.3">
      <c r="A12" s="4" t="s">
        <v>54</v>
      </c>
      <c r="B12" s="4" t="s">
        <v>55</v>
      </c>
      <c r="C12" s="2">
        <v>1350</v>
      </c>
      <c r="D12" s="4" t="s">
        <v>56</v>
      </c>
      <c r="H12" s="4" t="s">
        <v>99</v>
      </c>
      <c r="I12" s="4" t="s">
        <v>100</v>
      </c>
      <c r="J12" s="2">
        <v>900</v>
      </c>
      <c r="K12" s="4" t="s">
        <v>76</v>
      </c>
      <c r="L12" s="4" t="s">
        <v>83</v>
      </c>
      <c r="O12" s="4" t="s">
        <v>149</v>
      </c>
      <c r="P12" s="4" t="s">
        <v>150</v>
      </c>
      <c r="Q12" s="4" t="s">
        <v>129</v>
      </c>
      <c r="R12" s="2">
        <v>2</v>
      </c>
      <c r="S12" s="2">
        <v>900</v>
      </c>
      <c r="V12" s="4" t="s">
        <v>184</v>
      </c>
      <c r="W12" s="4" t="s">
        <v>185</v>
      </c>
      <c r="X12" s="2">
        <v>275000</v>
      </c>
      <c r="Y12" s="6">
        <v>8.2000000000000003E-2</v>
      </c>
      <c r="Z12" s="4" t="s">
        <v>169</v>
      </c>
    </row>
    <row r="13" spans="1:27" ht="28.8" x14ac:dyDescent="0.3">
      <c r="A13" s="4" t="s">
        <v>57</v>
      </c>
      <c r="B13" s="4" t="s">
        <v>58</v>
      </c>
      <c r="C13" s="2">
        <v>850</v>
      </c>
      <c r="D13" s="4" t="s">
        <v>34</v>
      </c>
      <c r="H13" s="4" t="s">
        <v>101</v>
      </c>
      <c r="I13" s="4" t="s">
        <v>102</v>
      </c>
      <c r="J13" s="2">
        <v>6500</v>
      </c>
      <c r="K13" s="4" t="s">
        <v>80</v>
      </c>
      <c r="L13" s="4" t="s">
        <v>77</v>
      </c>
      <c r="O13" s="4" t="s">
        <v>151</v>
      </c>
      <c r="P13" s="4" t="s">
        <v>152</v>
      </c>
      <c r="Q13" s="4" t="s">
        <v>129</v>
      </c>
      <c r="R13" s="2">
        <v>5</v>
      </c>
      <c r="S13" s="2">
        <v>1300</v>
      </c>
    </row>
    <row r="14" spans="1:27" ht="28.8" customHeight="1" x14ac:dyDescent="0.3">
      <c r="A14" s="4" t="s">
        <v>59</v>
      </c>
      <c r="B14" s="4" t="s">
        <v>60</v>
      </c>
      <c r="C14" s="2">
        <v>600</v>
      </c>
      <c r="D14" s="4" t="s">
        <v>44</v>
      </c>
      <c r="H14" s="4" t="s">
        <v>103</v>
      </c>
      <c r="I14" s="4" t="s">
        <v>104</v>
      </c>
      <c r="J14" s="2">
        <v>1800</v>
      </c>
      <c r="K14" s="4" t="s">
        <v>76</v>
      </c>
      <c r="L14" s="4" t="s">
        <v>89</v>
      </c>
      <c r="O14" s="4" t="s">
        <v>153</v>
      </c>
      <c r="P14" s="4" t="s">
        <v>154</v>
      </c>
      <c r="Q14" s="4" t="s">
        <v>137</v>
      </c>
      <c r="R14" s="2">
        <v>4</v>
      </c>
      <c r="S14" s="2">
        <v>1200</v>
      </c>
      <c r="V14" s="4" t="s">
        <v>67</v>
      </c>
      <c r="W14" s="7" t="s">
        <v>186</v>
      </c>
      <c r="X14" s="7"/>
      <c r="Y14" s="7"/>
    </row>
    <row r="15" spans="1:27" ht="28.8" customHeight="1" x14ac:dyDescent="0.3">
      <c r="A15" s="4" t="s">
        <v>61</v>
      </c>
      <c r="B15" s="4" t="s">
        <v>62</v>
      </c>
      <c r="C15" s="2">
        <v>1050</v>
      </c>
      <c r="D15" s="4" t="s">
        <v>34</v>
      </c>
      <c r="H15" s="4" t="s">
        <v>105</v>
      </c>
      <c r="I15" s="4" t="s">
        <v>106</v>
      </c>
      <c r="J15" s="2">
        <v>2200</v>
      </c>
      <c r="K15" s="4" t="s">
        <v>86</v>
      </c>
      <c r="L15" s="4" t="s">
        <v>77</v>
      </c>
      <c r="W15" s="4" t="s">
        <v>164</v>
      </c>
      <c r="X15" s="4" t="s">
        <v>165</v>
      </c>
      <c r="Y15" s="2">
        <v>125000</v>
      </c>
      <c r="Z15" s="6">
        <v>6.2E-2</v>
      </c>
      <c r="AA15" s="4" t="s">
        <v>166</v>
      </c>
    </row>
    <row r="16" spans="1:27" ht="28.8" customHeight="1" x14ac:dyDescent="0.3">
      <c r="A16" s="4" t="s">
        <v>63</v>
      </c>
      <c r="B16" s="4" t="s">
        <v>64</v>
      </c>
      <c r="C16" s="2">
        <v>810</v>
      </c>
      <c r="D16" s="4" t="s">
        <v>49</v>
      </c>
      <c r="H16" s="4" t="s">
        <v>107</v>
      </c>
      <c r="I16" s="4" t="s">
        <v>82</v>
      </c>
      <c r="J16" s="2">
        <v>1700</v>
      </c>
      <c r="K16" s="4" t="s">
        <v>80</v>
      </c>
      <c r="L16" s="4" t="s">
        <v>108</v>
      </c>
      <c r="O16" s="4" t="s">
        <v>67</v>
      </c>
      <c r="W16" s="4" t="s">
        <v>170</v>
      </c>
      <c r="X16" s="4" t="s">
        <v>171</v>
      </c>
      <c r="Y16" s="2">
        <v>210000</v>
      </c>
      <c r="Z16" s="6">
        <v>7.0999999999999994E-2</v>
      </c>
      <c r="AA16" s="4" t="s">
        <v>166</v>
      </c>
    </row>
    <row r="17" spans="1:27" ht="28.8" customHeight="1" x14ac:dyDescent="0.3">
      <c r="A17" s="4" t="s">
        <v>65</v>
      </c>
      <c r="B17" s="4" t="s">
        <v>66</v>
      </c>
      <c r="C17" s="2">
        <v>990</v>
      </c>
      <c r="D17" s="4" t="s">
        <v>34</v>
      </c>
      <c r="H17" s="4" t="s">
        <v>109</v>
      </c>
      <c r="I17" s="4" t="s">
        <v>110</v>
      </c>
      <c r="J17" s="2">
        <v>1800</v>
      </c>
      <c r="K17" s="4" t="s">
        <v>76</v>
      </c>
      <c r="L17" s="4" t="s">
        <v>77</v>
      </c>
      <c r="O17" s="1" t="s">
        <v>122</v>
      </c>
      <c r="P17" s="1" t="s">
        <v>123</v>
      </c>
      <c r="Q17" s="1" t="s">
        <v>124</v>
      </c>
      <c r="R17" s="3" t="s">
        <v>125</v>
      </c>
      <c r="S17" s="3" t="s">
        <v>126</v>
      </c>
      <c r="W17" s="4" t="s">
        <v>172</v>
      </c>
      <c r="X17" s="4" t="s">
        <v>173</v>
      </c>
      <c r="Y17" s="2">
        <v>156000</v>
      </c>
      <c r="Z17" s="6">
        <v>5.5E-2</v>
      </c>
      <c r="AA17" s="4" t="s">
        <v>169</v>
      </c>
    </row>
    <row r="18" spans="1:27" ht="28.8" x14ac:dyDescent="0.3">
      <c r="H18" s="4" t="s">
        <v>111</v>
      </c>
      <c r="I18" s="4" t="s">
        <v>112</v>
      </c>
      <c r="J18" s="2">
        <v>9500</v>
      </c>
      <c r="K18" s="4" t="s">
        <v>80</v>
      </c>
      <c r="L18" s="4" t="s">
        <v>83</v>
      </c>
      <c r="O18" s="4" t="s">
        <v>127</v>
      </c>
      <c r="P18" s="4" t="s">
        <v>128</v>
      </c>
      <c r="Q18" s="4" t="s">
        <v>129</v>
      </c>
      <c r="R18" s="2">
        <v>4</v>
      </c>
      <c r="S18" s="2">
        <v>1400</v>
      </c>
      <c r="W18" s="4" t="s">
        <v>176</v>
      </c>
      <c r="X18" s="4" t="s">
        <v>177</v>
      </c>
      <c r="Y18" s="2">
        <v>320000</v>
      </c>
      <c r="Z18" s="6">
        <v>6.8000000000000005E-2</v>
      </c>
      <c r="AA18" s="4" t="s">
        <v>169</v>
      </c>
    </row>
    <row r="19" spans="1:27" ht="28.8" x14ac:dyDescent="0.3">
      <c r="A19" s="4" t="s">
        <v>67</v>
      </c>
      <c r="H19" s="4" t="s">
        <v>113</v>
      </c>
      <c r="I19" s="4" t="s">
        <v>114</v>
      </c>
      <c r="J19" s="2">
        <v>6000</v>
      </c>
      <c r="K19" s="4" t="s">
        <v>76</v>
      </c>
      <c r="L19" s="4" t="s">
        <v>96</v>
      </c>
      <c r="O19" s="4" t="s">
        <v>133</v>
      </c>
      <c r="P19" s="4" t="s">
        <v>134</v>
      </c>
      <c r="Q19" s="4" t="s">
        <v>129</v>
      </c>
      <c r="R19" s="2">
        <v>5</v>
      </c>
      <c r="S19" s="2">
        <v>1250</v>
      </c>
      <c r="W19" s="4" t="s">
        <v>180</v>
      </c>
      <c r="X19" s="4" t="s">
        <v>181</v>
      </c>
      <c r="Y19" s="2">
        <v>190000</v>
      </c>
      <c r="Z19" s="6">
        <v>5.8999999999999997E-2</v>
      </c>
      <c r="AA19" s="4" t="s">
        <v>169</v>
      </c>
    </row>
    <row r="20" spans="1:27" ht="28.8" x14ac:dyDescent="0.3">
      <c r="A20" t="str" cm="1">
        <f t="array" ref="A20:D26">_xlfn._xlws.FILTER(A2:D17,(C2:C17&gt;800)*(D2:D17="Ahmedabad"))</f>
        <v>OD101</v>
      </c>
      <c r="B20" t="str">
        <v>Swiggy Meals</v>
      </c>
      <c r="C20">
        <v>950</v>
      </c>
      <c r="D20" t="str">
        <v>Ahmedabad</v>
      </c>
      <c r="H20" s="4" t="s">
        <v>115</v>
      </c>
      <c r="I20" s="4" t="s">
        <v>116</v>
      </c>
      <c r="J20" s="2">
        <v>500</v>
      </c>
      <c r="K20" s="4" t="s">
        <v>86</v>
      </c>
      <c r="L20" s="4" t="s">
        <v>77</v>
      </c>
      <c r="O20" s="4" t="s">
        <v>140</v>
      </c>
      <c r="P20" s="4" t="s">
        <v>141</v>
      </c>
      <c r="Q20" s="4" t="s">
        <v>129</v>
      </c>
      <c r="R20" s="2">
        <v>6</v>
      </c>
      <c r="S20" s="2">
        <v>1800</v>
      </c>
      <c r="W20" s="4" t="s">
        <v>184</v>
      </c>
      <c r="X20" s="4" t="s">
        <v>185</v>
      </c>
      <c r="Y20" s="2">
        <v>275000</v>
      </c>
      <c r="Z20" s="6">
        <v>8.2000000000000003E-2</v>
      </c>
      <c r="AA20" s="4" t="s">
        <v>169</v>
      </c>
    </row>
    <row r="21" spans="1:27" x14ac:dyDescent="0.3">
      <c r="A21" t="str">
        <v>OD103</v>
      </c>
      <c r="B21" t="str">
        <v>Food Corner</v>
      </c>
      <c r="C21">
        <v>1250</v>
      </c>
      <c r="D21" t="str">
        <v>Ahmedabad</v>
      </c>
      <c r="H21" s="4" t="s">
        <v>117</v>
      </c>
      <c r="I21" s="4" t="s">
        <v>118</v>
      </c>
      <c r="J21" s="2">
        <v>32000</v>
      </c>
      <c r="K21" s="4" t="s">
        <v>80</v>
      </c>
      <c r="L21" s="4" t="s">
        <v>89</v>
      </c>
      <c r="O21" s="4" t="s">
        <v>145</v>
      </c>
      <c r="P21" s="4" t="s">
        <v>146</v>
      </c>
      <c r="Q21" s="4" t="s">
        <v>129</v>
      </c>
      <c r="R21" s="2">
        <v>4</v>
      </c>
      <c r="S21" s="2">
        <v>1100</v>
      </c>
    </row>
    <row r="22" spans="1:27" x14ac:dyDescent="0.3">
      <c r="A22" t="str">
        <v>OD106</v>
      </c>
      <c r="B22" t="str">
        <v>Tasty Bites</v>
      </c>
      <c r="C22">
        <v>1100</v>
      </c>
      <c r="D22" t="str">
        <v>Ahmedabad</v>
      </c>
      <c r="H22" s="4" t="s">
        <v>119</v>
      </c>
      <c r="I22" s="4" t="s">
        <v>120</v>
      </c>
      <c r="J22" s="2">
        <v>3000</v>
      </c>
      <c r="K22" s="4" t="s">
        <v>76</v>
      </c>
      <c r="L22" s="4" t="s">
        <v>83</v>
      </c>
      <c r="O22" s="4" t="s">
        <v>151</v>
      </c>
      <c r="P22" s="4" t="s">
        <v>152</v>
      </c>
      <c r="Q22" s="4" t="s">
        <v>129</v>
      </c>
      <c r="R22" s="2">
        <v>5</v>
      </c>
      <c r="S22" s="2">
        <v>1300</v>
      </c>
      <c r="V22" s="5" t="s">
        <v>187</v>
      </c>
      <c r="W22" s="5"/>
      <c r="X22" s="5"/>
    </row>
    <row r="23" spans="1:27" ht="28.8" x14ac:dyDescent="0.3">
      <c r="A23" t="str">
        <v>OD108</v>
      </c>
      <c r="B23" t="str">
        <v>Cafe Delight</v>
      </c>
      <c r="C23">
        <v>920</v>
      </c>
      <c r="D23" t="str">
        <v>Ahmedabad</v>
      </c>
      <c r="V23" s="4" t="s">
        <v>167</v>
      </c>
      <c r="W23" s="4" t="s">
        <v>168</v>
      </c>
      <c r="X23" s="2">
        <v>98000</v>
      </c>
      <c r="Y23" s="6">
        <v>4.8000000000000001E-2</v>
      </c>
      <c r="Z23" s="4" t="s">
        <v>169</v>
      </c>
    </row>
    <row r="24" spans="1:27" ht="28.8" x14ac:dyDescent="0.3">
      <c r="A24" t="str">
        <v>OD111</v>
      </c>
      <c r="B24" t="str">
        <v>Food Express</v>
      </c>
      <c r="C24">
        <v>850</v>
      </c>
      <c r="D24" t="str">
        <v>Ahmedabad</v>
      </c>
      <c r="H24" s="4" t="s">
        <v>67</v>
      </c>
      <c r="V24" s="4" t="s">
        <v>172</v>
      </c>
      <c r="W24" s="4" t="s">
        <v>173</v>
      </c>
      <c r="X24" s="2">
        <v>156000</v>
      </c>
      <c r="Y24" s="6">
        <v>5.5E-2</v>
      </c>
      <c r="Z24" s="4" t="s">
        <v>169</v>
      </c>
    </row>
    <row r="25" spans="1:27" ht="28.8" x14ac:dyDescent="0.3">
      <c r="A25" t="str">
        <v>OD113</v>
      </c>
      <c r="B25" t="str">
        <v>Indian Rasoi</v>
      </c>
      <c r="C25">
        <v>1050</v>
      </c>
      <c r="D25" t="str">
        <v>Ahmedabad</v>
      </c>
      <c r="H25" t="str" cm="1">
        <f t="array" ref="H25:L39">_xlfn._xlws.FILTER(H3:L22,(K3:K22="UPI")+(L3:L22="DELIVERED"))</f>
        <v>O101</v>
      </c>
      <c r="I25" t="str">
        <v>Laptop</v>
      </c>
      <c r="J25">
        <v>55000</v>
      </c>
      <c r="K25" t="str">
        <v>UPI</v>
      </c>
      <c r="L25" t="str">
        <v>Delivered</v>
      </c>
      <c r="V25" s="4" t="s">
        <v>176</v>
      </c>
      <c r="W25" s="4" t="s">
        <v>177</v>
      </c>
      <c r="X25" s="2">
        <v>320000</v>
      </c>
      <c r="Y25" s="6">
        <v>6.8000000000000005E-2</v>
      </c>
      <c r="Z25" s="4" t="s">
        <v>169</v>
      </c>
    </row>
    <row r="26" spans="1:27" ht="28.8" x14ac:dyDescent="0.3">
      <c r="A26" t="str">
        <v>OD115</v>
      </c>
      <c r="B26" t="str">
        <v>Fresh Eats</v>
      </c>
      <c r="C26">
        <v>990</v>
      </c>
      <c r="D26" t="str">
        <v>Ahmedabad</v>
      </c>
      <c r="H26" t="str">
        <v>O102</v>
      </c>
      <c r="I26" t="str">
        <v>Mouse</v>
      </c>
      <c r="J26">
        <v>800</v>
      </c>
      <c r="K26" t="str">
        <v>Card</v>
      </c>
      <c r="L26" t="str">
        <v>Delivered</v>
      </c>
      <c r="V26" s="4" t="s">
        <v>180</v>
      </c>
      <c r="W26" s="4" t="s">
        <v>181</v>
      </c>
      <c r="X26" s="2">
        <v>190000</v>
      </c>
      <c r="Y26" s="6">
        <v>5.8999999999999997E-2</v>
      </c>
      <c r="Z26" s="4" t="s">
        <v>169</v>
      </c>
    </row>
    <row r="27" spans="1:27" ht="28.8" x14ac:dyDescent="0.3">
      <c r="H27" t="str">
        <v>O103</v>
      </c>
      <c r="I27" t="str">
        <v>Keyboard</v>
      </c>
      <c r="J27">
        <v>1500</v>
      </c>
      <c r="K27" t="str">
        <v>UPI</v>
      </c>
      <c r="L27" t="str">
        <v>Shipped</v>
      </c>
      <c r="V27" s="4" t="s">
        <v>184</v>
      </c>
      <c r="W27" s="4" t="s">
        <v>185</v>
      </c>
      <c r="X27" s="2">
        <v>275000</v>
      </c>
      <c r="Y27" s="6">
        <v>8.2000000000000003E-2</v>
      </c>
      <c r="Z27" s="4" t="s">
        <v>169</v>
      </c>
    </row>
    <row r="28" spans="1:27" x14ac:dyDescent="0.3">
      <c r="H28" t="str">
        <v>O104</v>
      </c>
      <c r="I28" t="str">
        <v>Headphones</v>
      </c>
      <c r="J28">
        <v>2500</v>
      </c>
      <c r="K28" t="str">
        <v>Cash</v>
      </c>
      <c r="L28" t="str">
        <v>Delivered</v>
      </c>
    </row>
    <row r="29" spans="1:27" x14ac:dyDescent="0.3">
      <c r="H29" t="str">
        <v>O106</v>
      </c>
      <c r="I29" t="str">
        <v>Webcam</v>
      </c>
      <c r="J29">
        <v>3500</v>
      </c>
      <c r="K29" t="str">
        <v>UPI</v>
      </c>
      <c r="L29" t="str">
        <v>Delivered</v>
      </c>
    </row>
    <row r="30" spans="1:27" x14ac:dyDescent="0.3">
      <c r="H30" t="str">
        <v>O108</v>
      </c>
      <c r="I30" t="str">
        <v>Mobile</v>
      </c>
      <c r="J30">
        <v>28000</v>
      </c>
      <c r="K30" t="str">
        <v>UPI</v>
      </c>
      <c r="L30" t="str">
        <v>Processing</v>
      </c>
    </row>
    <row r="31" spans="1:27" x14ac:dyDescent="0.3">
      <c r="H31" t="str">
        <v>O109</v>
      </c>
      <c r="I31" t="str">
        <v>Tablet</v>
      </c>
      <c r="J31">
        <v>18000</v>
      </c>
      <c r="K31" t="str">
        <v>Cash</v>
      </c>
      <c r="L31" t="str">
        <v>Delivered</v>
      </c>
    </row>
    <row r="32" spans="1:27" x14ac:dyDescent="0.3">
      <c r="H32" t="str">
        <v>O110</v>
      </c>
      <c r="I32" t="str">
        <v>Charger</v>
      </c>
      <c r="J32">
        <v>900</v>
      </c>
      <c r="K32" t="str">
        <v>UPI</v>
      </c>
      <c r="L32" t="str">
        <v>Shipped</v>
      </c>
    </row>
    <row r="33" spans="8:12" x14ac:dyDescent="0.3">
      <c r="H33" t="str">
        <v>O111</v>
      </c>
      <c r="I33" t="str">
        <v>Smartwatch</v>
      </c>
      <c r="J33">
        <v>6500</v>
      </c>
      <c r="K33" t="str">
        <v>Card</v>
      </c>
      <c r="L33" t="str">
        <v>Delivered</v>
      </c>
    </row>
    <row r="34" spans="8:12" x14ac:dyDescent="0.3">
      <c r="H34" t="str">
        <v>O112</v>
      </c>
      <c r="I34" t="str">
        <v>Power Bank</v>
      </c>
      <c r="J34">
        <v>1800</v>
      </c>
      <c r="K34" t="str">
        <v>UPI</v>
      </c>
      <c r="L34" t="str">
        <v>Pending</v>
      </c>
    </row>
    <row r="35" spans="8:12" x14ac:dyDescent="0.3">
      <c r="H35" t="str">
        <v>O113</v>
      </c>
      <c r="I35" t="str">
        <v>Earbuds</v>
      </c>
      <c r="J35">
        <v>2200</v>
      </c>
      <c r="K35" t="str">
        <v>Cash</v>
      </c>
      <c r="L35" t="str">
        <v>Delivered</v>
      </c>
    </row>
    <row r="36" spans="8:12" x14ac:dyDescent="0.3">
      <c r="H36" t="str">
        <v>O115</v>
      </c>
      <c r="I36" t="str">
        <v>Laptop Bag</v>
      </c>
      <c r="J36">
        <v>1800</v>
      </c>
      <c r="K36" t="str">
        <v>UPI</v>
      </c>
      <c r="L36" t="str">
        <v>Delivered</v>
      </c>
    </row>
    <row r="37" spans="8:12" x14ac:dyDescent="0.3">
      <c r="H37" t="str">
        <v>O117</v>
      </c>
      <c r="I37" t="str">
        <v>SSD</v>
      </c>
      <c r="J37">
        <v>6000</v>
      </c>
      <c r="K37" t="str">
        <v>UPI</v>
      </c>
      <c r="L37" t="str">
        <v>Processing</v>
      </c>
    </row>
    <row r="38" spans="8:12" x14ac:dyDescent="0.3">
      <c r="H38" t="str">
        <v>O118</v>
      </c>
      <c r="I38" t="str">
        <v>USB Cable</v>
      </c>
      <c r="J38">
        <v>500</v>
      </c>
      <c r="K38" t="str">
        <v>Cash</v>
      </c>
      <c r="L38" t="str">
        <v>Delivered</v>
      </c>
    </row>
    <row r="39" spans="8:12" x14ac:dyDescent="0.3">
      <c r="H39" t="str">
        <v>O120</v>
      </c>
      <c r="I39" t="str">
        <v>Router</v>
      </c>
      <c r="J39">
        <v>3000</v>
      </c>
      <c r="K39" t="str">
        <v>UPI</v>
      </c>
      <c r="L39" t="str">
        <v>Shipped</v>
      </c>
    </row>
  </sheetData>
  <mergeCells count="6">
    <mergeCell ref="V22:X22"/>
    <mergeCell ref="A1:D1"/>
    <mergeCell ref="H1:L1"/>
    <mergeCell ref="O1:S1"/>
    <mergeCell ref="V1:Z1"/>
    <mergeCell ref="W14:Y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Session2</vt:lpstr>
      <vt:lpstr>SESSION4</vt:lpstr>
      <vt:lpstr>TopArtists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Shah</dc:creator>
  <cp:lastModifiedBy>Diya Shah</cp:lastModifiedBy>
  <dcterms:created xsi:type="dcterms:W3CDTF">2026-08-16T18:05:16Z</dcterms:created>
  <dcterms:modified xsi:type="dcterms:W3CDTF">2026-08-24T11:00:38Z</dcterms:modified>
</cp:coreProperties>
</file>