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8a2020e7177c1c5/Documents/DIA TOPS/EXCEL_ASSIGMENT/"/>
    </mc:Choice>
  </mc:AlternateContent>
  <xr:revisionPtr revIDLastSave="171" documentId="11_F25DC773A252ABDACC10485ED1594EC65BDE58EB" xr6:coauthVersionLast="47" xr6:coauthVersionMax="47" xr10:uidLastSave="{C527DFE4-4020-4E94-A0AE-BA687B0462CC}"/>
  <bookViews>
    <workbookView xWindow="-108" yWindow="-108" windowWidth="23256" windowHeight="12456" activeTab="2" xr2:uid="{00000000-000D-0000-FFFF-FFFF00000000}"/>
  </bookViews>
  <sheets>
    <sheet name="SESSION9" sheetId="1" r:id="rId1"/>
    <sheet name="SESSION10" sheetId="2" r:id="rId2"/>
    <sheet name="SESSION11" sheetId="3" r:id="rId3"/>
    <sheet name="SESSION1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3" l="1"/>
  <c r="Y9" i="2"/>
  <c r="S10" i="2"/>
  <c r="M10" i="2"/>
  <c r="G11" i="2"/>
  <c r="B17" i="2"/>
  <c r="B16" i="2"/>
  <c r="N16" i="1"/>
  <c r="E5" i="1"/>
  <c r="B14" i="1"/>
  <c r="S11" i="2"/>
</calcChain>
</file>

<file path=xl/sharedStrings.xml><?xml version="1.0" encoding="utf-8"?>
<sst xmlns="http://schemas.openxmlformats.org/spreadsheetml/2006/main" count="267" uniqueCount="190">
  <si>
    <t>TASK1</t>
  </si>
  <si>
    <t>Product Name</t>
  </si>
  <si>
    <t>Price</t>
  </si>
  <si>
    <t>Laptop</t>
  </si>
  <si>
    <t>Smartphone</t>
  </si>
  <si>
    <t>Headphones</t>
  </si>
  <si>
    <t>Smart Watch</t>
  </si>
  <si>
    <t>Keyboard</t>
  </si>
  <si>
    <t>Mouse</t>
  </si>
  <si>
    <t>Tablet</t>
  </si>
  <si>
    <t>Power Bank</t>
  </si>
  <si>
    <t>Backpack</t>
  </si>
  <si>
    <t>Earbuds</t>
  </si>
  <si>
    <t>SMARTPHONE</t>
  </si>
  <si>
    <t>TASK2</t>
  </si>
  <si>
    <t>Dish</t>
  </si>
  <si>
    <t>Pizza</t>
  </si>
  <si>
    <t>Burger</t>
  </si>
  <si>
    <t>Biryani</t>
  </si>
  <si>
    <t>Pasta</t>
  </si>
  <si>
    <t>Dosa</t>
  </si>
  <si>
    <t>Sandwich</t>
  </si>
  <si>
    <t>Momos</t>
  </si>
  <si>
    <t>Rating</t>
  </si>
  <si>
    <t>PASTA</t>
  </si>
  <si>
    <t>TASK3</t>
  </si>
  <si>
    <t>Username</t>
  </si>
  <si>
    <t>Mobile Number</t>
  </si>
  <si>
    <t>anjali</t>
  </si>
  <si>
    <t>ankur</t>
  </si>
  <si>
    <t>diya</t>
  </si>
  <si>
    <t>harsh</t>
  </si>
  <si>
    <t>jay</t>
  </si>
  <si>
    <t>krisha</t>
  </si>
  <si>
    <t>mehul</t>
  </si>
  <si>
    <t>neha</t>
  </si>
  <si>
    <t>priya</t>
  </si>
  <si>
    <t>rahul</t>
  </si>
  <si>
    <t>riya</t>
  </si>
  <si>
    <t>vishal</t>
  </si>
  <si>
    <t>DIYA</t>
  </si>
  <si>
    <t>Product ID</t>
  </si>
  <si>
    <t>Name</t>
  </si>
  <si>
    <t>Category</t>
  </si>
  <si>
    <t>P101</t>
  </si>
  <si>
    <t>Electronics</t>
  </si>
  <si>
    <t>P102</t>
  </si>
  <si>
    <t>P103</t>
  </si>
  <si>
    <t>P104</t>
  </si>
  <si>
    <t>P105</t>
  </si>
  <si>
    <t>P106</t>
  </si>
  <si>
    <t>P107</t>
  </si>
  <si>
    <t>P108</t>
  </si>
  <si>
    <t>Fashion</t>
  </si>
  <si>
    <t>P109</t>
  </si>
  <si>
    <t>P110</t>
  </si>
  <si>
    <t>Order ID</t>
  </si>
  <si>
    <t>Restaurant Name</t>
  </si>
  <si>
    <t>Order Date</t>
  </si>
  <si>
    <t>Amount</t>
  </si>
  <si>
    <t>Z101</t>
  </si>
  <si>
    <t>Pizza Hub</t>
  </si>
  <si>
    <t>Z102</t>
  </si>
  <si>
    <t>Burger Point</t>
  </si>
  <si>
    <t>Z103</t>
  </si>
  <si>
    <t>Z104</t>
  </si>
  <si>
    <t>Dosa Corner</t>
  </si>
  <si>
    <t>Z105</t>
  </si>
  <si>
    <t>Z106</t>
  </si>
  <si>
    <t>Z107</t>
  </si>
  <si>
    <t>PIZZA HUB</t>
  </si>
  <si>
    <t>Playlist Name</t>
  </si>
  <si>
    <t>Genre</t>
  </si>
  <si>
    <t>Created By</t>
  </si>
  <si>
    <t>Number of Songs</t>
  </si>
  <si>
    <t>Chill Vibes</t>
  </si>
  <si>
    <t>Pop</t>
  </si>
  <si>
    <t>Diya</t>
  </si>
  <si>
    <t>Workout Hits</t>
  </si>
  <si>
    <t>Rock</t>
  </si>
  <si>
    <t>Riya</t>
  </si>
  <si>
    <t>Bollywood Beats</t>
  </si>
  <si>
    <t>Bollywood</t>
  </si>
  <si>
    <t>Anjali</t>
  </si>
  <si>
    <t>Lo-Fi Nights</t>
  </si>
  <si>
    <t>Lo-Fi</t>
  </si>
  <si>
    <t>Rahul</t>
  </si>
  <si>
    <t>Party Mix</t>
  </si>
  <si>
    <t>EDM</t>
  </si>
  <si>
    <t>Neha</t>
  </si>
  <si>
    <t>Romantic Songs</t>
  </si>
  <si>
    <t>Romantic</t>
  </si>
  <si>
    <t>Priya</t>
  </si>
  <si>
    <t>LO-FI</t>
  </si>
  <si>
    <t>Booking ID</t>
  </si>
  <si>
    <t>Passenger Name</t>
  </si>
  <si>
    <t>Train Number</t>
  </si>
  <si>
    <t>Status</t>
  </si>
  <si>
    <t>B101</t>
  </si>
  <si>
    <t>Rahul Shah</t>
  </si>
  <si>
    <t>Confirmed</t>
  </si>
  <si>
    <t>B102</t>
  </si>
  <si>
    <t>Priya Patel</t>
  </si>
  <si>
    <t>Waiting</t>
  </si>
  <si>
    <t>B103</t>
  </si>
  <si>
    <t>Anjali Mehta</t>
  </si>
  <si>
    <t>RAC</t>
  </si>
  <si>
    <t>B104</t>
  </si>
  <si>
    <t>Vishal Shah</t>
  </si>
  <si>
    <t>B105</t>
  </si>
  <si>
    <t>Neha Jain</t>
  </si>
  <si>
    <t>Cancelled</t>
  </si>
  <si>
    <t>TASK4</t>
  </si>
  <si>
    <t>Product</t>
  </si>
  <si>
    <t>Delivery Date</t>
  </si>
  <si>
    <t>M101</t>
  </si>
  <si>
    <t>T-Shirt</t>
  </si>
  <si>
    <t>M102</t>
  </si>
  <si>
    <t>Jeans</t>
  </si>
  <si>
    <t>M103</t>
  </si>
  <si>
    <t>Shoes</t>
  </si>
  <si>
    <t>M104</t>
  </si>
  <si>
    <t>Jacket</t>
  </si>
  <si>
    <t>M105</t>
  </si>
  <si>
    <t>Kurti</t>
  </si>
  <si>
    <t>TASK5</t>
  </si>
  <si>
    <t>Team</t>
  </si>
  <si>
    <t>Mumbai Indians</t>
  </si>
  <si>
    <t>Gujarat Titans</t>
  </si>
  <si>
    <t>Chennai Super Kings</t>
  </si>
  <si>
    <t>Rajasthan Royals</t>
  </si>
  <si>
    <t>Song Name</t>
  </si>
  <si>
    <t>Artist</t>
  </si>
  <si>
    <t>Kesariya</t>
  </si>
  <si>
    <t>Arijit Singh</t>
  </si>
  <si>
    <t>Shape of You</t>
  </si>
  <si>
    <t>Ed Sheeran</t>
  </si>
  <si>
    <t>Blinding Lights</t>
  </si>
  <si>
    <t>The Weeknd</t>
  </si>
  <si>
    <t>Tum Hi Ho</t>
  </si>
  <si>
    <t>Perfect</t>
  </si>
  <si>
    <t>Believer</t>
  </si>
  <si>
    <t>Imagine Dragons</t>
  </si>
  <si>
    <t>Levitating</t>
  </si>
  <si>
    <t>Dua Lipa</t>
  </si>
  <si>
    <t>Apna Bana Le</t>
  </si>
  <si>
    <t>Senorita</t>
  </si>
  <si>
    <t>Shawn Mendes</t>
  </si>
  <si>
    <t>Industry Baby</t>
  </si>
  <si>
    <t>Lil Nas X</t>
  </si>
  <si>
    <t>Calm Down</t>
  </si>
  <si>
    <t>Rema</t>
  </si>
  <si>
    <t>Heat Waves</t>
  </si>
  <si>
    <t>Glass Animals</t>
  </si>
  <si>
    <t>Stay</t>
  </si>
  <si>
    <t>Justin Bieber</t>
  </si>
  <si>
    <t>As It Was</t>
  </si>
  <si>
    <t>Harry Styles</t>
  </si>
  <si>
    <t>Monitor</t>
  </si>
  <si>
    <t>Z108</t>
  </si>
  <si>
    <t>Z109</t>
  </si>
  <si>
    <t>Z110</t>
  </si>
  <si>
    <t>Z111</t>
  </si>
  <si>
    <t>Z112</t>
  </si>
  <si>
    <t>Z113</t>
  </si>
  <si>
    <t>Z114</t>
  </si>
  <si>
    <t>Z115</t>
  </si>
  <si>
    <t>Player</t>
  </si>
  <si>
    <t>Total Runs</t>
  </si>
  <si>
    <t>Virat Kohli</t>
  </si>
  <si>
    <t>Rohit Sharma</t>
  </si>
  <si>
    <t>Shubman Gill</t>
  </si>
  <si>
    <t>Sanju Samson</t>
  </si>
  <si>
    <t>Suryakumar Yadav</t>
  </si>
  <si>
    <t>Ruturaj Gaikwad</t>
  </si>
  <si>
    <t>Yashasvi Jaiswal</t>
  </si>
  <si>
    <t>Hardik Pandya</t>
  </si>
  <si>
    <t>Rinku Singh</t>
  </si>
  <si>
    <t>KL Rahul</t>
  </si>
  <si>
    <t>Platform</t>
  </si>
  <si>
    <t>Expense</t>
  </si>
  <si>
    <t>Target</t>
  </si>
  <si>
    <t>Swiggy</t>
  </si>
  <si>
    <t>Myntra</t>
  </si>
  <si>
    <t>Paytm</t>
  </si>
  <si>
    <t>Zomato</t>
  </si>
  <si>
    <t>Flipkart</t>
  </si>
  <si>
    <t>Amazon</t>
  </si>
  <si>
    <t>Spotify</t>
  </si>
  <si>
    <t>Netflix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</si>
</sst>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workbookViewId="0">
      <selection activeCell="N17" sqref="N17"/>
    </sheetView>
  </sheetViews>
  <sheetFormatPr defaultRowHeight="14.4" x14ac:dyDescent="0.3"/>
  <cols>
    <col min="1" max="1" width="12.44140625" customWidth="1"/>
    <col min="13" max="13" width="10.6640625" customWidth="1"/>
    <col min="14" max="14" width="15.33203125" customWidth="1"/>
  </cols>
  <sheetData>
    <row r="1" spans="1:15" x14ac:dyDescent="0.3">
      <c r="A1" s="8" t="s">
        <v>0</v>
      </c>
      <c r="B1" s="8"/>
      <c r="D1" s="8" t="s">
        <v>14</v>
      </c>
      <c r="E1" s="8"/>
      <c r="F1" s="8"/>
      <c r="G1" s="8"/>
      <c r="H1" s="8"/>
      <c r="M1" s="8" t="s">
        <v>25</v>
      </c>
      <c r="N1" s="8"/>
      <c r="O1" s="8"/>
    </row>
    <row r="2" spans="1:15" ht="28.8" x14ac:dyDescent="0.3">
      <c r="A2" s="4" t="s">
        <v>1</v>
      </c>
      <c r="B2" s="2" t="s">
        <v>2</v>
      </c>
      <c r="D2" s="4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M2" s="4" t="s">
        <v>26</v>
      </c>
      <c r="N2" s="4" t="s">
        <v>27</v>
      </c>
    </row>
    <row r="3" spans="1:15" ht="28.8" customHeight="1" x14ac:dyDescent="0.3">
      <c r="A3" s="3" t="s">
        <v>3</v>
      </c>
      <c r="B3" s="1">
        <v>55000</v>
      </c>
      <c r="D3" s="4" t="s">
        <v>23</v>
      </c>
      <c r="E3" s="3">
        <v>4.5</v>
      </c>
      <c r="F3" s="3">
        <v>4.2</v>
      </c>
      <c r="G3" s="3">
        <v>4.7</v>
      </c>
      <c r="H3" s="3">
        <v>4.3</v>
      </c>
      <c r="I3" s="3">
        <v>4.5999999999999996</v>
      </c>
      <c r="J3" s="3">
        <v>4.0999999999999996</v>
      </c>
      <c r="K3" s="3">
        <v>4.4000000000000004</v>
      </c>
      <c r="M3" s="3" t="s">
        <v>28</v>
      </c>
      <c r="N3" s="3">
        <v>9876543210</v>
      </c>
    </row>
    <row r="4" spans="1:15" ht="28.8" customHeight="1" x14ac:dyDescent="0.3">
      <c r="A4" s="3" t="s">
        <v>4</v>
      </c>
      <c r="B4" s="1">
        <v>25000</v>
      </c>
      <c r="M4" s="3" t="s">
        <v>29</v>
      </c>
      <c r="N4" s="3">
        <v>9876543211</v>
      </c>
    </row>
    <row r="5" spans="1:15" ht="28.8" customHeight="1" x14ac:dyDescent="0.3">
      <c r="A5" s="3" t="s">
        <v>5</v>
      </c>
      <c r="B5" s="1">
        <v>1800</v>
      </c>
      <c r="D5" t="s">
        <v>24</v>
      </c>
      <c r="E5">
        <f>HLOOKUP(H2,D2:K3,2,)</f>
        <v>4.3</v>
      </c>
      <c r="M5" s="3" t="s">
        <v>30</v>
      </c>
      <c r="N5" s="3">
        <v>9876543212</v>
      </c>
    </row>
    <row r="6" spans="1:15" ht="28.8" customHeight="1" x14ac:dyDescent="0.3">
      <c r="A6" s="3" t="s">
        <v>6</v>
      </c>
      <c r="B6" s="1">
        <v>3500</v>
      </c>
      <c r="M6" s="3" t="s">
        <v>31</v>
      </c>
      <c r="N6" s="3">
        <v>9876543213</v>
      </c>
    </row>
    <row r="7" spans="1:15" ht="28.8" customHeight="1" x14ac:dyDescent="0.3">
      <c r="A7" s="3" t="s">
        <v>7</v>
      </c>
      <c r="B7" s="1">
        <v>1200</v>
      </c>
      <c r="M7" s="3" t="s">
        <v>32</v>
      </c>
      <c r="N7" s="3">
        <v>9876543214</v>
      </c>
    </row>
    <row r="8" spans="1:15" x14ac:dyDescent="0.3">
      <c r="A8" s="3" t="s">
        <v>8</v>
      </c>
      <c r="B8" s="1">
        <v>700</v>
      </c>
      <c r="M8" s="3" t="s">
        <v>33</v>
      </c>
      <c r="N8" s="3">
        <v>9876543215</v>
      </c>
    </row>
    <row r="9" spans="1:15" x14ac:dyDescent="0.3">
      <c r="A9" s="3" t="s">
        <v>9</v>
      </c>
      <c r="B9" s="1">
        <v>18000</v>
      </c>
      <c r="M9" s="3" t="s">
        <v>34</v>
      </c>
      <c r="N9" s="3">
        <v>9876543216</v>
      </c>
    </row>
    <row r="10" spans="1:15" x14ac:dyDescent="0.3">
      <c r="A10" s="3" t="s">
        <v>10</v>
      </c>
      <c r="B10" s="1">
        <v>1500</v>
      </c>
      <c r="M10" s="3" t="s">
        <v>35</v>
      </c>
      <c r="N10" s="3">
        <v>9876543217</v>
      </c>
    </row>
    <row r="11" spans="1:15" ht="28.8" customHeight="1" x14ac:dyDescent="0.3">
      <c r="A11" s="3" t="s">
        <v>11</v>
      </c>
      <c r="B11" s="1">
        <v>2200</v>
      </c>
      <c r="M11" s="3" t="s">
        <v>36</v>
      </c>
      <c r="N11" s="3">
        <v>9876543218</v>
      </c>
    </row>
    <row r="12" spans="1:15" x14ac:dyDescent="0.3">
      <c r="A12" s="3" t="s">
        <v>12</v>
      </c>
      <c r="B12" s="1">
        <v>2500</v>
      </c>
      <c r="M12" s="3" t="s">
        <v>37</v>
      </c>
      <c r="N12" s="3">
        <v>9876543219</v>
      </c>
    </row>
    <row r="13" spans="1:15" x14ac:dyDescent="0.3">
      <c r="M13" s="3" t="s">
        <v>38</v>
      </c>
      <c r="N13" s="3">
        <v>9876543220</v>
      </c>
    </row>
    <row r="14" spans="1:15" ht="28.8" x14ac:dyDescent="0.3">
      <c r="A14" s="3" t="s">
        <v>13</v>
      </c>
      <c r="B14">
        <f>VLOOKUP(A4,A2:B12,2,FALSE)</f>
        <v>25000</v>
      </c>
      <c r="M14" s="3" t="s">
        <v>39</v>
      </c>
      <c r="N14" s="3">
        <v>9876543221</v>
      </c>
    </row>
    <row r="16" spans="1:15" x14ac:dyDescent="0.3">
      <c r="M16" s="3" t="s">
        <v>40</v>
      </c>
      <c r="N16">
        <f>VLOOKUP(M5,M2:N14,2,TRUE)</f>
        <v>9876543212</v>
      </c>
    </row>
  </sheetData>
  <mergeCells count="3">
    <mergeCell ref="A1:B1"/>
    <mergeCell ref="D1:H1"/>
    <mergeCell ref="M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AF38-29F9-480B-93E0-1DC7A73D673F}">
  <dimension ref="A1:Z19"/>
  <sheetViews>
    <sheetView workbookViewId="0">
      <selection activeCell="Y10" sqref="Y10"/>
    </sheetView>
  </sheetViews>
  <sheetFormatPr defaultRowHeight="14.4" x14ac:dyDescent="0.3"/>
  <cols>
    <col min="1" max="1" width="12.109375" customWidth="1"/>
    <col min="2" max="2" width="12.5546875" customWidth="1"/>
    <col min="3" max="3" width="12" customWidth="1"/>
    <col min="7" max="7" width="11.33203125" customWidth="1"/>
    <col min="8" max="8" width="10.33203125" bestFit="1" customWidth="1"/>
    <col min="13" max="13" width="10.109375" customWidth="1"/>
    <col min="21" max="21" width="10.44140625" customWidth="1"/>
    <col min="26" max="26" width="10.33203125" bestFit="1" customWidth="1"/>
  </cols>
  <sheetData>
    <row r="1" spans="1:26" x14ac:dyDescent="0.3">
      <c r="A1" s="8" t="s">
        <v>0</v>
      </c>
      <c r="B1" s="8"/>
      <c r="C1" s="8"/>
      <c r="D1" s="8"/>
      <c r="F1" s="8" t="s">
        <v>14</v>
      </c>
      <c r="G1" s="8"/>
      <c r="H1" s="8"/>
      <c r="I1" s="8"/>
      <c r="L1" s="8" t="s">
        <v>25</v>
      </c>
      <c r="M1" s="8"/>
      <c r="N1" s="8"/>
      <c r="O1" s="8"/>
      <c r="R1" s="8" t="s">
        <v>112</v>
      </c>
      <c r="S1" s="8"/>
      <c r="T1" s="8"/>
      <c r="U1" s="8"/>
      <c r="X1" s="8" t="s">
        <v>125</v>
      </c>
      <c r="Y1" s="8"/>
      <c r="Z1" s="8"/>
    </row>
    <row r="2" spans="1:26" ht="28.8" customHeight="1" x14ac:dyDescent="0.3">
      <c r="A2" s="4" t="s">
        <v>41</v>
      </c>
      <c r="B2" s="4" t="s">
        <v>42</v>
      </c>
      <c r="C2" s="4" t="s">
        <v>43</v>
      </c>
      <c r="D2" s="2" t="s">
        <v>2</v>
      </c>
      <c r="F2" s="4" t="s">
        <v>56</v>
      </c>
      <c r="G2" s="4" t="s">
        <v>57</v>
      </c>
      <c r="H2" s="4" t="s">
        <v>58</v>
      </c>
      <c r="I2" s="2" t="s">
        <v>59</v>
      </c>
      <c r="L2" s="4" t="s">
        <v>71</v>
      </c>
      <c r="M2" s="4" t="s">
        <v>72</v>
      </c>
      <c r="N2" s="4" t="s">
        <v>73</v>
      </c>
      <c r="O2" s="2" t="s">
        <v>74</v>
      </c>
      <c r="R2" s="4" t="s">
        <v>94</v>
      </c>
      <c r="S2" s="4" t="s">
        <v>95</v>
      </c>
      <c r="T2" s="4" t="s">
        <v>96</v>
      </c>
      <c r="U2" s="4" t="s">
        <v>97</v>
      </c>
      <c r="X2" s="4" t="s">
        <v>56</v>
      </c>
      <c r="Y2" s="4" t="s">
        <v>113</v>
      </c>
      <c r="Z2" s="4" t="s">
        <v>114</v>
      </c>
    </row>
    <row r="3" spans="1:26" ht="28.8" x14ac:dyDescent="0.3">
      <c r="A3" s="3" t="s">
        <v>44</v>
      </c>
      <c r="B3" s="3" t="s">
        <v>3</v>
      </c>
      <c r="C3" s="3" t="s">
        <v>45</v>
      </c>
      <c r="D3" s="1">
        <v>55000</v>
      </c>
      <c r="F3" s="3" t="s">
        <v>60</v>
      </c>
      <c r="G3" s="3" t="s">
        <v>61</v>
      </c>
      <c r="H3" s="5">
        <v>46235</v>
      </c>
      <c r="I3" s="1">
        <v>450</v>
      </c>
      <c r="L3" s="3" t="s">
        <v>75</v>
      </c>
      <c r="M3" s="3" t="s">
        <v>76</v>
      </c>
      <c r="N3" s="3" t="s">
        <v>77</v>
      </c>
      <c r="O3" s="1">
        <v>35</v>
      </c>
      <c r="R3" s="3" t="s">
        <v>98</v>
      </c>
      <c r="S3" s="3" t="s">
        <v>99</v>
      </c>
      <c r="T3" s="3">
        <v>12951</v>
      </c>
      <c r="U3" s="3" t="s">
        <v>100</v>
      </c>
      <c r="X3" s="3" t="s">
        <v>115</v>
      </c>
      <c r="Y3" s="3" t="s">
        <v>116</v>
      </c>
      <c r="Z3" s="5">
        <v>46239</v>
      </c>
    </row>
    <row r="4" spans="1:26" ht="28.8" customHeight="1" x14ac:dyDescent="0.3">
      <c r="A4" s="3" t="s">
        <v>46</v>
      </c>
      <c r="B4" s="3" t="s">
        <v>4</v>
      </c>
      <c r="C4" s="3" t="s">
        <v>45</v>
      </c>
      <c r="D4" s="1">
        <v>25000</v>
      </c>
      <c r="F4" s="3" t="s">
        <v>62</v>
      </c>
      <c r="G4" s="3" t="s">
        <v>63</v>
      </c>
      <c r="H4" s="5">
        <v>46237</v>
      </c>
      <c r="I4" s="1">
        <v>350</v>
      </c>
      <c r="L4" s="3" t="s">
        <v>78</v>
      </c>
      <c r="M4" s="3" t="s">
        <v>79</v>
      </c>
      <c r="N4" s="3" t="s">
        <v>80</v>
      </c>
      <c r="O4" s="1">
        <v>42</v>
      </c>
      <c r="R4" s="3" t="s">
        <v>101</v>
      </c>
      <c r="S4" s="3" t="s">
        <v>102</v>
      </c>
      <c r="T4" s="3">
        <v>22945</v>
      </c>
      <c r="U4" s="3" t="s">
        <v>103</v>
      </c>
      <c r="X4" s="3" t="s">
        <v>117</v>
      </c>
      <c r="Y4" s="3" t="s">
        <v>118</v>
      </c>
      <c r="Z4" s="5">
        <v>46242</v>
      </c>
    </row>
    <row r="5" spans="1:26" ht="28.8" customHeight="1" x14ac:dyDescent="0.3">
      <c r="A5" s="3" t="s">
        <v>47</v>
      </c>
      <c r="B5" s="3" t="s">
        <v>5</v>
      </c>
      <c r="C5" s="3" t="s">
        <v>45</v>
      </c>
      <c r="D5" s="1">
        <v>1800</v>
      </c>
      <c r="F5" s="3" t="s">
        <v>64</v>
      </c>
      <c r="G5" s="3" t="s">
        <v>61</v>
      </c>
      <c r="H5" s="5">
        <v>46239</v>
      </c>
      <c r="I5" s="1">
        <v>600</v>
      </c>
      <c r="L5" s="3" t="s">
        <v>81</v>
      </c>
      <c r="M5" s="3" t="s">
        <v>82</v>
      </c>
      <c r="N5" s="3" t="s">
        <v>83</v>
      </c>
      <c r="O5" s="1">
        <v>50</v>
      </c>
      <c r="R5" s="3" t="s">
        <v>104</v>
      </c>
      <c r="S5" s="3" t="s">
        <v>105</v>
      </c>
      <c r="T5" s="3">
        <v>19034</v>
      </c>
      <c r="U5" s="3" t="s">
        <v>106</v>
      </c>
      <c r="X5" s="3" t="s">
        <v>119</v>
      </c>
      <c r="Y5" s="3" t="s">
        <v>120</v>
      </c>
      <c r="Z5" s="5">
        <v>46246</v>
      </c>
    </row>
    <row r="6" spans="1:26" ht="28.8" customHeight="1" x14ac:dyDescent="0.3">
      <c r="A6" s="3" t="s">
        <v>48</v>
      </c>
      <c r="B6" s="3" t="s">
        <v>6</v>
      </c>
      <c r="C6" s="3" t="s">
        <v>45</v>
      </c>
      <c r="D6" s="1">
        <v>3500</v>
      </c>
      <c r="F6" s="3" t="s">
        <v>65</v>
      </c>
      <c r="G6" s="3" t="s">
        <v>66</v>
      </c>
      <c r="H6" s="5">
        <v>46241</v>
      </c>
      <c r="I6" s="1">
        <v>250</v>
      </c>
      <c r="L6" s="3" t="s">
        <v>84</v>
      </c>
      <c r="M6" s="3" t="s">
        <v>85</v>
      </c>
      <c r="N6" s="3" t="s">
        <v>86</v>
      </c>
      <c r="O6" s="1">
        <v>28</v>
      </c>
      <c r="R6" s="3" t="s">
        <v>107</v>
      </c>
      <c r="S6" s="3" t="s">
        <v>108</v>
      </c>
      <c r="T6" s="3">
        <v>12932</v>
      </c>
      <c r="U6" s="3" t="s">
        <v>100</v>
      </c>
      <c r="X6" s="3" t="s">
        <v>121</v>
      </c>
      <c r="Y6" s="3" t="s">
        <v>122</v>
      </c>
      <c r="Z6" s="5">
        <v>46249</v>
      </c>
    </row>
    <row r="7" spans="1:26" ht="28.8" customHeight="1" x14ac:dyDescent="0.3">
      <c r="A7" s="3" t="s">
        <v>49</v>
      </c>
      <c r="B7" s="3" t="s">
        <v>7</v>
      </c>
      <c r="C7" s="3" t="s">
        <v>45</v>
      </c>
      <c r="D7" s="1">
        <v>1200</v>
      </c>
      <c r="F7" s="3" t="s">
        <v>67</v>
      </c>
      <c r="G7" s="3" t="s">
        <v>61</v>
      </c>
      <c r="H7" s="5">
        <v>46244</v>
      </c>
      <c r="I7" s="1">
        <v>750</v>
      </c>
      <c r="L7" s="3" t="s">
        <v>87</v>
      </c>
      <c r="M7" s="3" t="s">
        <v>88</v>
      </c>
      <c r="N7" s="3" t="s">
        <v>89</v>
      </c>
      <c r="O7" s="1">
        <v>45</v>
      </c>
      <c r="R7" s="3" t="s">
        <v>109</v>
      </c>
      <c r="S7" s="3" t="s">
        <v>110</v>
      </c>
      <c r="T7" s="3">
        <v>19420</v>
      </c>
      <c r="U7" s="3" t="s">
        <v>111</v>
      </c>
      <c r="X7" s="3" t="s">
        <v>123</v>
      </c>
      <c r="Y7" s="3" t="s">
        <v>124</v>
      </c>
      <c r="Z7" s="5">
        <v>46252</v>
      </c>
    </row>
    <row r="8" spans="1:26" ht="28.8" customHeight="1" x14ac:dyDescent="0.3">
      <c r="A8" s="3" t="s">
        <v>50</v>
      </c>
      <c r="B8" s="3" t="s">
        <v>8</v>
      </c>
      <c r="C8" s="3" t="s">
        <v>45</v>
      </c>
      <c r="D8" s="1">
        <v>700</v>
      </c>
      <c r="F8" s="3" t="s">
        <v>68</v>
      </c>
      <c r="G8" s="3" t="s">
        <v>63</v>
      </c>
      <c r="H8" s="5">
        <v>46246</v>
      </c>
      <c r="I8" s="1">
        <v>500</v>
      </c>
      <c r="L8" s="3" t="s">
        <v>90</v>
      </c>
      <c r="M8" s="3" t="s">
        <v>91</v>
      </c>
      <c r="N8" s="3" t="s">
        <v>92</v>
      </c>
      <c r="O8" s="1">
        <v>30</v>
      </c>
    </row>
    <row r="9" spans="1:26" ht="28.8" customHeight="1" x14ac:dyDescent="0.3">
      <c r="A9" s="3" t="s">
        <v>51</v>
      </c>
      <c r="B9" s="3" t="s">
        <v>9</v>
      </c>
      <c r="C9" s="3" t="s">
        <v>45</v>
      </c>
      <c r="D9" s="1">
        <v>18000</v>
      </c>
      <c r="F9" s="3" t="s">
        <v>69</v>
      </c>
      <c r="G9" s="3" t="s">
        <v>61</v>
      </c>
      <c r="H9" s="5">
        <v>46249</v>
      </c>
      <c r="I9" s="1">
        <v>900</v>
      </c>
      <c r="R9" s="4" t="s">
        <v>94</v>
      </c>
      <c r="S9" s="4" t="s">
        <v>97</v>
      </c>
      <c r="X9" s="3" t="s">
        <v>123</v>
      </c>
      <c r="Y9" t="str">
        <f>_xlfn.XLOOKUP(X9,X3:X7,Y3:Y7, ,0,1)</f>
        <v>Kurti</v>
      </c>
    </row>
    <row r="10" spans="1:26" x14ac:dyDescent="0.3">
      <c r="A10" s="3" t="s">
        <v>52</v>
      </c>
      <c r="B10" s="3" t="s">
        <v>11</v>
      </c>
      <c r="C10" s="3" t="s">
        <v>53</v>
      </c>
      <c r="D10" s="1">
        <v>2200</v>
      </c>
      <c r="L10" s="3" t="s">
        <v>93</v>
      </c>
      <c r="M10" t="str">
        <f>_xlfn.XLOOKUP(M6,M3:M8,L3:L8,"NOT AVAILABLE",0,1)</f>
        <v>Lo-Fi Nights</v>
      </c>
      <c r="R10" s="3" t="s">
        <v>104</v>
      </c>
      <c r="S10" s="3" t="str">
        <f>_xlfn.XLOOKUP(R10,R3:R7,U3:U7,"NOT AVAILABLE",0,1)</f>
        <v>RAC</v>
      </c>
    </row>
    <row r="11" spans="1:26" ht="28.8" x14ac:dyDescent="0.3">
      <c r="A11" s="3" t="s">
        <v>54</v>
      </c>
      <c r="B11" s="3" t="s">
        <v>12</v>
      </c>
      <c r="C11" s="3" t="s">
        <v>45</v>
      </c>
      <c r="D11" s="1">
        <v>2500</v>
      </c>
      <c r="F11" s="3" t="s">
        <v>70</v>
      </c>
      <c r="G11">
        <f>_xlfn.XLOOKUP(F11,G3:G9,I3:I9,,0,-1)</f>
        <v>900</v>
      </c>
      <c r="R11">
        <v>899</v>
      </c>
      <c r="S11">
        <f ca="1">S11=_xlfn.XLOOKUP(R11,R3:R7,U3:U7,"NOT AVAILABLE",0,1)</f>
        <v>0</v>
      </c>
    </row>
    <row r="12" spans="1:26" x14ac:dyDescent="0.3">
      <c r="A12" s="3" t="s">
        <v>55</v>
      </c>
      <c r="B12" s="3" t="s">
        <v>10</v>
      </c>
      <c r="C12" s="3" t="s">
        <v>45</v>
      </c>
      <c r="D12" s="1">
        <v>1500</v>
      </c>
    </row>
    <row r="15" spans="1:26" ht="28.8" x14ac:dyDescent="0.3">
      <c r="A15" s="4" t="s">
        <v>41</v>
      </c>
      <c r="B15" s="4" t="s">
        <v>1</v>
      </c>
    </row>
    <row r="16" spans="1:26" x14ac:dyDescent="0.3">
      <c r="A16" s="3" t="s">
        <v>47</v>
      </c>
      <c r="B16" s="3" t="str">
        <f>_xlfn.XLOOKUP(A5,A3:A12,B3:B12,,0,1)</f>
        <v>Headphones</v>
      </c>
    </row>
    <row r="17" spans="1:2" x14ac:dyDescent="0.3">
      <c r="A17" s="3" t="s">
        <v>51</v>
      </c>
      <c r="B17" s="3" t="str">
        <f>_xlfn.XLOOKUP(A9,A2:A12,B2:B12,,0,1)</f>
        <v>Tablet</v>
      </c>
    </row>
    <row r="18" spans="1:2" x14ac:dyDescent="0.3">
      <c r="A18" s="3"/>
      <c r="B18" s="3"/>
    </row>
    <row r="19" spans="1:2" x14ac:dyDescent="0.3">
      <c r="A19" s="3"/>
      <c r="B19" s="3"/>
    </row>
  </sheetData>
  <mergeCells count="5">
    <mergeCell ref="A1:D1"/>
    <mergeCell ref="F1:I1"/>
    <mergeCell ref="L1:O1"/>
    <mergeCell ref="R1:U1"/>
    <mergeCell ref="X1:Z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AD8-CF6C-4F50-866E-08B513B43882}">
  <dimension ref="A1:E8"/>
  <sheetViews>
    <sheetView tabSelected="1" workbookViewId="0">
      <selection activeCell="A8" sqref="A8"/>
    </sheetView>
  </sheetViews>
  <sheetFormatPr defaultRowHeight="14.4" x14ac:dyDescent="0.3"/>
  <cols>
    <col min="2" max="5" width="10.33203125" bestFit="1" customWidth="1"/>
  </cols>
  <sheetData>
    <row r="1" spans="1:5" x14ac:dyDescent="0.3">
      <c r="A1" s="8" t="s">
        <v>0</v>
      </c>
      <c r="B1" s="8"/>
      <c r="C1" s="8"/>
      <c r="D1" s="8"/>
      <c r="E1" s="8"/>
    </row>
    <row r="2" spans="1:5" x14ac:dyDescent="0.3">
      <c r="A2" s="4" t="s">
        <v>126</v>
      </c>
      <c r="B2" s="7">
        <v>45392</v>
      </c>
      <c r="C2" s="7">
        <v>45397</v>
      </c>
      <c r="D2" s="7">
        <v>45402</v>
      </c>
      <c r="E2" s="7">
        <v>45407</v>
      </c>
    </row>
    <row r="3" spans="1:5" ht="28.8" x14ac:dyDescent="0.3">
      <c r="A3" s="3" t="s">
        <v>127</v>
      </c>
      <c r="B3" s="3">
        <v>180</v>
      </c>
      <c r="C3" s="3">
        <v>165</v>
      </c>
      <c r="D3" s="3">
        <v>190</v>
      </c>
      <c r="E3" s="3">
        <v>175</v>
      </c>
    </row>
    <row r="4" spans="1:5" ht="28.8" x14ac:dyDescent="0.3">
      <c r="A4" s="3" t="s">
        <v>128</v>
      </c>
      <c r="B4" s="3">
        <v>170</v>
      </c>
      <c r="C4" s="4">
        <v>185</v>
      </c>
      <c r="D4" s="3">
        <v>160</v>
      </c>
      <c r="E4" s="3">
        <v>178</v>
      </c>
    </row>
    <row r="5" spans="1:5" ht="43.2" x14ac:dyDescent="0.3">
      <c r="A5" s="3" t="s">
        <v>129</v>
      </c>
      <c r="B5" s="3">
        <v>175</v>
      </c>
      <c r="C5" s="3">
        <v>172</v>
      </c>
      <c r="D5" s="3">
        <v>188</v>
      </c>
      <c r="E5" s="3">
        <v>180</v>
      </c>
    </row>
    <row r="6" spans="1:5" ht="28.8" x14ac:dyDescent="0.3">
      <c r="A6" s="3" t="s">
        <v>130</v>
      </c>
      <c r="B6" s="3">
        <v>160</v>
      </c>
      <c r="C6" s="3">
        <v>195</v>
      </c>
      <c r="D6" s="3">
        <v>170</v>
      </c>
      <c r="E6" s="3">
        <v>185</v>
      </c>
    </row>
    <row r="8" spans="1:5" x14ac:dyDescent="0.3">
      <c r="A8">
        <f>INDEX(A3:D6,2,4)</f>
        <v>160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E9E8A-7FF2-4509-91E4-07CDFB9413EB}">
  <dimension ref="A1:P22"/>
  <sheetViews>
    <sheetView workbookViewId="0">
      <selection activeCell="O3" sqref="O3"/>
    </sheetView>
  </sheetViews>
  <sheetFormatPr defaultRowHeight="14.4" x14ac:dyDescent="0.3"/>
  <cols>
    <col min="1" max="1" width="11.33203125" customWidth="1"/>
    <col min="2" max="2" width="15.77734375" customWidth="1"/>
    <col min="4" max="4" width="11.21875" customWidth="1"/>
    <col min="11" max="11" width="14.109375" customWidth="1"/>
  </cols>
  <sheetData>
    <row r="1" spans="1:16" x14ac:dyDescent="0.3">
      <c r="A1" s="8" t="s">
        <v>0</v>
      </c>
      <c r="B1" s="8"/>
      <c r="D1" s="8" t="s">
        <v>14</v>
      </c>
      <c r="E1" s="8"/>
      <c r="H1" s="8" t="s">
        <v>25</v>
      </c>
      <c r="I1" s="8"/>
      <c r="K1" s="8" t="s">
        <v>112</v>
      </c>
      <c r="L1" s="8"/>
      <c r="N1" s="8" t="s">
        <v>125</v>
      </c>
      <c r="O1" s="8"/>
      <c r="P1" s="8"/>
    </row>
    <row r="2" spans="1:16" ht="28.8" customHeight="1" x14ac:dyDescent="0.3">
      <c r="A2" s="6" t="s">
        <v>131</v>
      </c>
      <c r="B2" s="6" t="s">
        <v>132</v>
      </c>
      <c r="D2" s="4" t="s">
        <v>113</v>
      </c>
      <c r="E2" s="2" t="s">
        <v>2</v>
      </c>
      <c r="H2" s="4" t="s">
        <v>56</v>
      </c>
      <c r="I2" s="2" t="s">
        <v>23</v>
      </c>
      <c r="K2" s="4" t="s">
        <v>167</v>
      </c>
      <c r="L2" s="2" t="s">
        <v>168</v>
      </c>
      <c r="N2" s="4" t="s">
        <v>179</v>
      </c>
      <c r="O2" s="2" t="s">
        <v>180</v>
      </c>
      <c r="P2" s="2" t="s">
        <v>181</v>
      </c>
    </row>
    <row r="3" spans="1:16" ht="28.8" customHeight="1" x14ac:dyDescent="0.3">
      <c r="A3" s="3" t="s">
        <v>133</v>
      </c>
      <c r="B3" s="3" t="s">
        <v>134</v>
      </c>
      <c r="D3" s="3" t="s">
        <v>3</v>
      </c>
      <c r="E3" s="1">
        <v>55000</v>
      </c>
      <c r="H3" s="3" t="s">
        <v>60</v>
      </c>
      <c r="I3" s="1">
        <v>5</v>
      </c>
      <c r="K3" s="3" t="s">
        <v>169</v>
      </c>
      <c r="L3" s="1">
        <v>741</v>
      </c>
      <c r="N3" s="3" t="s">
        <v>182</v>
      </c>
      <c r="O3" s="1">
        <v>1200</v>
      </c>
      <c r="P3" s="1">
        <v>1500</v>
      </c>
    </row>
    <row r="4" spans="1:16" ht="28.8" x14ac:dyDescent="0.3">
      <c r="A4" s="3" t="s">
        <v>135</v>
      </c>
      <c r="B4" s="3" t="s">
        <v>136</v>
      </c>
      <c r="D4" s="3" t="s">
        <v>4</v>
      </c>
      <c r="E4" s="1">
        <v>25000</v>
      </c>
      <c r="H4" s="3" t="s">
        <v>62</v>
      </c>
      <c r="I4" s="1">
        <v>4</v>
      </c>
      <c r="K4" s="3" t="s">
        <v>170</v>
      </c>
      <c r="L4" s="1">
        <v>632</v>
      </c>
      <c r="N4" s="3" t="s">
        <v>183</v>
      </c>
      <c r="O4" s="1">
        <v>2500</v>
      </c>
      <c r="P4" s="1">
        <v>2000</v>
      </c>
    </row>
    <row r="5" spans="1:16" ht="28.8" x14ac:dyDescent="0.3">
      <c r="A5" s="3" t="s">
        <v>137</v>
      </c>
      <c r="B5" s="3" t="s">
        <v>138</v>
      </c>
      <c r="D5" s="3" t="s">
        <v>5</v>
      </c>
      <c r="E5" s="1">
        <v>1800</v>
      </c>
      <c r="H5" s="3" t="s">
        <v>64</v>
      </c>
      <c r="I5" s="1">
        <v>3</v>
      </c>
      <c r="K5" s="3" t="s">
        <v>171</v>
      </c>
      <c r="L5" s="1">
        <v>890</v>
      </c>
      <c r="N5" s="3" t="s">
        <v>184</v>
      </c>
      <c r="O5" s="1">
        <v>800</v>
      </c>
      <c r="P5" s="1">
        <v>1000</v>
      </c>
    </row>
    <row r="6" spans="1:16" ht="28.8" customHeight="1" x14ac:dyDescent="0.3">
      <c r="A6" s="3" t="s">
        <v>139</v>
      </c>
      <c r="B6" s="3" t="s">
        <v>134</v>
      </c>
      <c r="D6" s="3" t="s">
        <v>6</v>
      </c>
      <c r="E6" s="1">
        <v>3500</v>
      </c>
      <c r="H6" s="3" t="s">
        <v>65</v>
      </c>
      <c r="I6" s="1">
        <v>2</v>
      </c>
      <c r="K6" s="3" t="s">
        <v>172</v>
      </c>
      <c r="L6" s="1">
        <v>521</v>
      </c>
      <c r="N6" s="3" t="s">
        <v>185</v>
      </c>
      <c r="O6" s="1">
        <v>1800</v>
      </c>
      <c r="P6" s="1">
        <v>1500</v>
      </c>
    </row>
    <row r="7" spans="1:16" ht="28.8" customHeight="1" x14ac:dyDescent="0.3">
      <c r="A7" s="3" t="s">
        <v>140</v>
      </c>
      <c r="B7" s="3" t="s">
        <v>136</v>
      </c>
      <c r="D7" s="3" t="s">
        <v>7</v>
      </c>
      <c r="E7" s="1">
        <v>1200</v>
      </c>
      <c r="H7" s="3" t="s">
        <v>67</v>
      </c>
      <c r="I7" s="1">
        <v>5</v>
      </c>
      <c r="K7" s="3" t="s">
        <v>173</v>
      </c>
      <c r="L7" s="1">
        <v>705</v>
      </c>
      <c r="N7" s="3" t="s">
        <v>186</v>
      </c>
      <c r="O7" s="1">
        <v>1400</v>
      </c>
      <c r="P7" s="1">
        <v>1600</v>
      </c>
    </row>
    <row r="8" spans="1:16" ht="28.8" customHeight="1" x14ac:dyDescent="0.3">
      <c r="A8" s="3" t="s">
        <v>133</v>
      </c>
      <c r="B8" s="3" t="s">
        <v>134</v>
      </c>
      <c r="D8" s="3" t="s">
        <v>9</v>
      </c>
      <c r="E8" s="1">
        <v>18000</v>
      </c>
      <c r="H8" s="3" t="s">
        <v>68</v>
      </c>
      <c r="I8" s="1">
        <v>4</v>
      </c>
      <c r="K8" s="3" t="s">
        <v>174</v>
      </c>
      <c r="L8" s="1">
        <v>480</v>
      </c>
      <c r="N8" s="3" t="s">
        <v>187</v>
      </c>
      <c r="O8" s="1">
        <v>2200</v>
      </c>
      <c r="P8" s="1">
        <v>2500</v>
      </c>
    </row>
    <row r="9" spans="1:16" ht="28.8" customHeight="1" x14ac:dyDescent="0.3">
      <c r="A9" s="3" t="s">
        <v>141</v>
      </c>
      <c r="B9" s="3" t="s">
        <v>142</v>
      </c>
      <c r="D9" s="3" t="s">
        <v>12</v>
      </c>
      <c r="E9" s="1">
        <v>2500</v>
      </c>
      <c r="H9" s="3" t="s">
        <v>69</v>
      </c>
      <c r="I9" s="1">
        <v>1</v>
      </c>
      <c r="K9" s="3" t="s">
        <v>175</v>
      </c>
      <c r="L9" s="1">
        <v>610</v>
      </c>
      <c r="N9" s="3" t="s">
        <v>188</v>
      </c>
      <c r="O9" s="1">
        <v>300</v>
      </c>
      <c r="P9" s="1">
        <v>500</v>
      </c>
    </row>
    <row r="10" spans="1:16" ht="28.8" customHeight="1" x14ac:dyDescent="0.3">
      <c r="A10" s="3" t="s">
        <v>143</v>
      </c>
      <c r="B10" s="3" t="s">
        <v>144</v>
      </c>
      <c r="D10" s="3" t="s">
        <v>158</v>
      </c>
      <c r="E10" s="1">
        <v>12000</v>
      </c>
      <c r="H10" s="3" t="s">
        <v>159</v>
      </c>
      <c r="I10" s="1">
        <v>3</v>
      </c>
      <c r="K10" s="3" t="s">
        <v>176</v>
      </c>
      <c r="L10" s="1">
        <v>350</v>
      </c>
      <c r="N10" s="3" t="s">
        <v>189</v>
      </c>
      <c r="O10" s="1">
        <v>700</v>
      </c>
      <c r="P10" s="1">
        <v>600</v>
      </c>
    </row>
    <row r="11" spans="1:16" ht="28.8" x14ac:dyDescent="0.3">
      <c r="A11" s="3" t="s">
        <v>145</v>
      </c>
      <c r="B11" s="3" t="s">
        <v>134</v>
      </c>
      <c r="D11" s="3" t="s">
        <v>8</v>
      </c>
      <c r="E11" s="1">
        <v>700</v>
      </c>
      <c r="H11" s="3" t="s">
        <v>160</v>
      </c>
      <c r="I11" s="1">
        <v>5</v>
      </c>
      <c r="K11" s="3" t="s">
        <v>177</v>
      </c>
      <c r="L11" s="1">
        <v>275</v>
      </c>
    </row>
    <row r="12" spans="1:16" ht="28.8" customHeight="1" x14ac:dyDescent="0.3">
      <c r="A12" s="3" t="s">
        <v>146</v>
      </c>
      <c r="B12" s="3" t="s">
        <v>147</v>
      </c>
      <c r="D12" s="3" t="s">
        <v>10</v>
      </c>
      <c r="E12" s="1">
        <v>1500</v>
      </c>
      <c r="H12" s="3" t="s">
        <v>161</v>
      </c>
      <c r="I12" s="1">
        <v>2</v>
      </c>
      <c r="K12" s="3" t="s">
        <v>178</v>
      </c>
      <c r="L12" s="1">
        <v>560</v>
      </c>
    </row>
    <row r="13" spans="1:16" ht="28.8" customHeight="1" x14ac:dyDescent="0.3">
      <c r="A13" s="3" t="s">
        <v>140</v>
      </c>
      <c r="B13" s="3" t="s">
        <v>136</v>
      </c>
      <c r="H13" s="3" t="s">
        <v>162</v>
      </c>
      <c r="I13" s="1">
        <v>4</v>
      </c>
    </row>
    <row r="14" spans="1:16" ht="28.8" x14ac:dyDescent="0.3">
      <c r="A14" s="3" t="s">
        <v>148</v>
      </c>
      <c r="B14" s="3" t="s">
        <v>149</v>
      </c>
      <c r="H14" s="3" t="s">
        <v>163</v>
      </c>
      <c r="I14" s="1">
        <v>1</v>
      </c>
    </row>
    <row r="15" spans="1:16" x14ac:dyDescent="0.3">
      <c r="A15" s="3" t="s">
        <v>139</v>
      </c>
      <c r="B15" s="3" t="s">
        <v>134</v>
      </c>
      <c r="H15" s="3" t="s">
        <v>164</v>
      </c>
      <c r="I15" s="1">
        <v>3</v>
      </c>
    </row>
    <row r="16" spans="1:16" x14ac:dyDescent="0.3">
      <c r="A16" s="3" t="s">
        <v>150</v>
      </c>
      <c r="B16" s="3" t="s">
        <v>151</v>
      </c>
      <c r="H16" s="3" t="s">
        <v>165</v>
      </c>
      <c r="I16" s="1">
        <v>5</v>
      </c>
    </row>
    <row r="17" spans="1:9" x14ac:dyDescent="0.3">
      <c r="A17" s="3" t="s">
        <v>152</v>
      </c>
      <c r="B17" s="3" t="s">
        <v>153</v>
      </c>
      <c r="H17" s="3" t="s">
        <v>166</v>
      </c>
      <c r="I17" s="1">
        <v>2</v>
      </c>
    </row>
    <row r="18" spans="1:9" x14ac:dyDescent="0.3">
      <c r="A18" s="3" t="s">
        <v>133</v>
      </c>
      <c r="B18" s="3" t="s">
        <v>134</v>
      </c>
    </row>
    <row r="19" spans="1:9" x14ac:dyDescent="0.3">
      <c r="A19" s="3" t="s">
        <v>154</v>
      </c>
      <c r="B19" s="3" t="s">
        <v>155</v>
      </c>
    </row>
    <row r="20" spans="1:9" x14ac:dyDescent="0.3">
      <c r="A20" s="3" t="s">
        <v>141</v>
      </c>
      <c r="B20" s="3" t="s">
        <v>142</v>
      </c>
    </row>
    <row r="21" spans="1:9" x14ac:dyDescent="0.3">
      <c r="A21" s="3" t="s">
        <v>156</v>
      </c>
      <c r="B21" s="3" t="s">
        <v>157</v>
      </c>
    </row>
    <row r="22" spans="1:9" x14ac:dyDescent="0.3">
      <c r="A22" s="3" t="s">
        <v>140</v>
      </c>
      <c r="B22" s="3" t="s">
        <v>136</v>
      </c>
    </row>
  </sheetData>
  <mergeCells count="5">
    <mergeCell ref="A1:B1"/>
    <mergeCell ref="D1:E1"/>
    <mergeCell ref="H1:I1"/>
    <mergeCell ref="K1:L1"/>
    <mergeCell ref="N1:P1"/>
  </mergeCells>
  <conditionalFormatting sqref="A2:A22">
    <cfRule type="duplicateValues" dxfId="5" priority="20"/>
  </conditionalFormatting>
  <conditionalFormatting sqref="E3:E1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7">
    <cfRule type="iconSet" priority="17">
      <iconSet>
        <cfvo type="percent" val="0"/>
        <cfvo type="num" val="3"/>
        <cfvo type="num" val="4"/>
      </iconSet>
    </cfRule>
    <cfRule type="iconSet" priority="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L3:L12">
    <cfRule type="top10" dxfId="4" priority="15" bottom="1" rank="3"/>
    <cfRule type="top10" dxfId="3" priority="16" rank="3"/>
  </conditionalFormatting>
  <conditionalFormatting sqref="O3:O10">
    <cfRule type="expression" dxfId="2" priority="1">
      <formula>O3&lt;=P3</formula>
    </cfRule>
    <cfRule type="expression" dxfId="1" priority="2">
      <formula>O3&gt;P3</formula>
    </cfRule>
  </conditionalFormatting>
  <conditionalFormatting sqref="R2">
    <cfRule type="expression" dxfId="0" priority="11">
      <formula>$O$3:$O$10&gt;$P$3:$P$10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SESSION9</vt:lpstr>
      <vt:lpstr>SESSION10</vt:lpstr>
      <vt:lpstr>SESSION11</vt:lpstr>
      <vt:lpstr>SESSION12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 Shah</dc:creator>
  <cp:lastModifiedBy>Diya Shah</cp:lastModifiedBy>
  <dcterms:created xsi:type="dcterms:W3CDTF">2015-06-05T18:17:20Z</dcterms:created>
  <dcterms:modified xsi:type="dcterms:W3CDTF">2026-08-27T17:38:12Z</dcterms:modified>
</cp:coreProperties>
</file>