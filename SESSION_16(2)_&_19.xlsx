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a2020e7177c1c5/Documents/DIA TOPS/EXCEL_ASSIGMENT/"/>
    </mc:Choice>
  </mc:AlternateContent>
  <xr:revisionPtr revIDLastSave="125" documentId="11_F25DC773A252ABDACC10485ED1594EC65BDE58EB" xr6:coauthVersionLast="47" xr6:coauthVersionMax="47" xr10:uidLastSave="{B7392C06-00B4-4369-B03A-99D59127F660}"/>
  <bookViews>
    <workbookView xWindow="-108" yWindow="-108" windowWidth="23256" windowHeight="12456" activeTab="2" xr2:uid="{00000000-000D-0000-FFFF-FFFF00000000}"/>
  </bookViews>
  <sheets>
    <sheet name="SESSION16(2)_TASK1-2" sheetId="1" r:id="rId1"/>
    <sheet name="TASK3_5" sheetId="2" r:id="rId2"/>
    <sheet name="SESSION19" sheetId="3" r:id="rId3"/>
    <sheet name="DATA" sheetId="4" r:id="rId4"/>
  </sheets>
  <definedNames>
    <definedName name="_xlchart.v1.0" hidden="1">DATA!$K$2:$K$8</definedName>
    <definedName name="_xlchart.v1.1" hidden="1">DATA!$L$1</definedName>
    <definedName name="_xlchart.v1.2" hidden="1">DATA!$L$2:$L$8</definedName>
    <definedName name="_xlchart.v1.3" hidden="1">DATA!$K$2:$K$8</definedName>
    <definedName name="_xlchart.v1.4" hidden="1">DATA!$L$1</definedName>
    <definedName name="_xlchart.v1.5" hidden="1">DATA!$L$2:$L$8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7" i="3"/>
  <c r="C6" i="3"/>
  <c r="L4" i="2"/>
</calcChain>
</file>

<file path=xl/sharedStrings.xml><?xml version="1.0" encoding="utf-8"?>
<sst xmlns="http://schemas.openxmlformats.org/spreadsheetml/2006/main" count="285" uniqueCount="199">
  <si>
    <t>Order ID</t>
  </si>
  <si>
    <t>Customer Name</t>
  </si>
  <si>
    <t>Address</t>
  </si>
  <si>
    <t>ORD001</t>
  </si>
  <si>
    <t>Rahul Patel</t>
  </si>
  <si>
    <t>ORD002</t>
  </si>
  <si>
    <t>Priya Shah</t>
  </si>
  <si>
    <t>ORD003</t>
  </si>
  <si>
    <t>Amit Mehta</t>
  </si>
  <si>
    <t>ORD004</t>
  </si>
  <si>
    <t>Neha Desai</t>
  </si>
  <si>
    <t>ORD005</t>
  </si>
  <si>
    <t>Rohan Joshi</t>
  </si>
  <si>
    <t>ORD006</t>
  </si>
  <si>
    <t>Kavya Patel</t>
  </si>
  <si>
    <t>ORD007</t>
  </si>
  <si>
    <t>Arjun Shah</t>
  </si>
  <si>
    <t>ORD008</t>
  </si>
  <si>
    <t>Riya Mehta</t>
  </si>
  <si>
    <t>ORD009</t>
  </si>
  <si>
    <t>Dev Patel</t>
  </si>
  <si>
    <t>ORD010</t>
  </si>
  <si>
    <t>Isha Desai</t>
  </si>
  <si>
    <t>ORD011</t>
  </si>
  <si>
    <t>Kunal Shah</t>
  </si>
  <si>
    <t>ORD012</t>
  </si>
  <si>
    <t>Anjali Patel</t>
  </si>
  <si>
    <t>ORD013</t>
  </si>
  <si>
    <t>Harsh Mehta</t>
  </si>
  <si>
    <t>ORD014</t>
  </si>
  <si>
    <t>Simran Joshi</t>
  </si>
  <si>
    <t>ORD015</t>
  </si>
  <si>
    <t>Manav Shah</t>
  </si>
  <si>
    <t>ORD016</t>
  </si>
  <si>
    <t>ORD017</t>
  </si>
  <si>
    <t>ORD018</t>
  </si>
  <si>
    <t>ORD019</t>
  </si>
  <si>
    <t>Nidhi Desai</t>
  </si>
  <si>
    <t>ORD020</t>
  </si>
  <si>
    <t>Yash Patel</t>
  </si>
  <si>
    <t>ORD021</t>
  </si>
  <si>
    <t>Mihir Shah</t>
  </si>
  <si>
    <t>ORD022</t>
  </si>
  <si>
    <t>Diya Mehta</t>
  </si>
  <si>
    <t>ORD023</t>
  </si>
  <si>
    <t>Varun Patel</t>
  </si>
  <si>
    <t>ORD024</t>
  </si>
  <si>
    <t>Heena Joshi</t>
  </si>
  <si>
    <t>ORD025</t>
  </si>
  <si>
    <t>Jay Shah</t>
  </si>
  <si>
    <t>ORD026</t>
  </si>
  <si>
    <t>ORD027</t>
  </si>
  <si>
    <t>ORD028</t>
  </si>
  <si>
    <t>Sneha Mehta</t>
  </si>
  <si>
    <t>Aditya Patel</t>
  </si>
  <si>
    <t>12B Sunrise Apartments</t>
  </si>
  <si>
    <t xml:space="preserve"> SG Highway</t>
  </si>
  <si>
    <t xml:space="preserve"> Ahmedabad</t>
  </si>
  <si>
    <t>24 Rose Residency</t>
  </si>
  <si>
    <t xml:space="preserve"> C G Road</t>
  </si>
  <si>
    <t>15 Green Park</t>
  </si>
  <si>
    <t xml:space="preserve"> Vastrapur</t>
  </si>
  <si>
    <t>8 Silver Heights</t>
  </si>
  <si>
    <t xml:space="preserve"> Satellite</t>
  </si>
  <si>
    <t>32 Lake View</t>
  </si>
  <si>
    <t xml:space="preserve"> Bodakdev</t>
  </si>
  <si>
    <t>17 Shanti Nagar</t>
  </si>
  <si>
    <t xml:space="preserve"> Maninagar</t>
  </si>
  <si>
    <t>45 Royal Homes</t>
  </si>
  <si>
    <t xml:space="preserve"> Bopal</t>
  </si>
  <si>
    <t>9 Sunrise Towers</t>
  </si>
  <si>
    <t xml:space="preserve"> Navrangpura</t>
  </si>
  <si>
    <t>21 Pearl Residency</t>
  </si>
  <si>
    <t xml:space="preserve"> Thaltej</t>
  </si>
  <si>
    <t>6 Green Valley</t>
  </si>
  <si>
    <t xml:space="preserve"> Chandkheda</t>
  </si>
  <si>
    <t>18 Orchid Apartments</t>
  </si>
  <si>
    <t xml:space="preserve"> Paldi</t>
  </si>
  <si>
    <t>27 Silver Nest</t>
  </si>
  <si>
    <t xml:space="preserve"> Gota</t>
  </si>
  <si>
    <t>11 River View</t>
  </si>
  <si>
    <t xml:space="preserve"> Ellis Bridge</t>
  </si>
  <si>
    <t>33 Royal Residency</t>
  </si>
  <si>
    <t xml:space="preserve"> Prahlad Nagar</t>
  </si>
  <si>
    <t>5 Sunshine Homes</t>
  </si>
  <si>
    <t xml:space="preserve"> Wadaj</t>
  </si>
  <si>
    <t>7 Royal Homes</t>
  </si>
  <si>
    <t>19 Green Valley</t>
  </si>
  <si>
    <t>31 Sunrise Towers</t>
  </si>
  <si>
    <t>10 Silver Nest</t>
  </si>
  <si>
    <t>16 Orchid Apartments</t>
  </si>
  <si>
    <t>28 River View</t>
  </si>
  <si>
    <t>4 Sunshine Homes</t>
  </si>
  <si>
    <t>14 Pearl Heights</t>
  </si>
  <si>
    <t>22 Lake Residency</t>
  </si>
  <si>
    <t>12B</t>
  </si>
  <si>
    <t>Sunrise</t>
  </si>
  <si>
    <t>Apartments</t>
  </si>
  <si>
    <t>Rose</t>
  </si>
  <si>
    <t>Residency</t>
  </si>
  <si>
    <t>Green</t>
  </si>
  <si>
    <t>Park</t>
  </si>
  <si>
    <t>Silver</t>
  </si>
  <si>
    <t>Heights</t>
  </si>
  <si>
    <t>Lake</t>
  </si>
  <si>
    <t>View</t>
  </si>
  <si>
    <t>Shanti</t>
  </si>
  <si>
    <t>Nagar</t>
  </si>
  <si>
    <t>Royal</t>
  </si>
  <si>
    <t>Homes</t>
  </si>
  <si>
    <t>Towers</t>
  </si>
  <si>
    <t>Pearl</t>
  </si>
  <si>
    <t>Valley</t>
  </si>
  <si>
    <t>Orchid</t>
  </si>
  <si>
    <t>Nest</t>
  </si>
  <si>
    <t>River</t>
  </si>
  <si>
    <t>Sunshine</t>
  </si>
  <si>
    <t>Email</t>
  </si>
  <si>
    <t>rahul.patel99@gmail.com</t>
  </si>
  <si>
    <t>priya.shah12@gmail.com</t>
  </si>
  <si>
    <t>amit.mehta45@yahoo.com</t>
  </si>
  <si>
    <t>neha.desai88@gmail.com</t>
  </si>
  <si>
    <t>rohan.joshi21@outlook.com</t>
  </si>
  <si>
    <t>kavya.patel77@gmail.com</t>
  </si>
  <si>
    <t>arjun.shah55@yahoo.com</t>
  </si>
  <si>
    <t>riya.mehta33@gmail.com</t>
  </si>
  <si>
    <t>dev.patel66@outlook.com</t>
  </si>
  <si>
    <t>isha.desai44@gmail.com</t>
  </si>
  <si>
    <t>USERNAME</t>
  </si>
  <si>
    <t>rahul.patel99</t>
  </si>
  <si>
    <t>priya.shah12</t>
  </si>
  <si>
    <t>amit.mehta45</t>
  </si>
  <si>
    <t>neha.desai88</t>
  </si>
  <si>
    <t>rohan.joshi21</t>
  </si>
  <si>
    <t>kavya.patel77</t>
  </si>
  <si>
    <t>arjun.shah55</t>
  </si>
  <si>
    <t>riya.mehta33</t>
  </si>
  <si>
    <t>dev.patel66</t>
  </si>
  <si>
    <t>isha.desai44</t>
  </si>
  <si>
    <t>TASK3</t>
  </si>
  <si>
    <t>TASK4</t>
  </si>
  <si>
    <t>Phone</t>
  </si>
  <si>
    <t>TASK5</t>
  </si>
  <si>
    <t>Player	Matches	Runs	Average	Strike</t>
  </si>
  <si>
    <t>Rate</t>
  </si>
  <si>
    <t>Virat</t>
  </si>
  <si>
    <t>Rohit</t>
  </si>
  <si>
    <t>Shubman</t>
  </si>
  <si>
    <t>KL</t>
  </si>
  <si>
    <t>Hardik</t>
  </si>
  <si>
    <t>Rishabh</t>
  </si>
  <si>
    <t xml:space="preserve">	9	360	=360/9	=360/280*100</t>
  </si>
  <si>
    <t xml:space="preserve">	0	0	=0/0	=400/300*100</t>
  </si>
  <si>
    <t xml:space="preserve">	7	210	=210/7	=210/180*100</t>
  </si>
  <si>
    <t xml:space="preserve">	8	320	=320/8	=320/250*100</t>
  </si>
  <si>
    <t xml:space="preserve">	10	450	=450/10	=450/500*100</t>
  </si>
  <si>
    <t>FOOD DELIVERY ANALYTICS DASHBOARD</t>
  </si>
  <si>
    <t>KPIS</t>
  </si>
  <si>
    <t>TRENDS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</si>
  <si>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</si>
  <si>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</si>
  <si>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</si>
  <si>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</si>
  <si>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</si>
  <si>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</si>
  <si>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</si>
  <si>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</si>
  <si>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</si>
  <si>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</si>
  <si>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</si>
  <si>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</si>
  <si>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</si>
  <si>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</si>
  <si>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</si>
  <si>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</si>
  <si>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</si>
  <si>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</si>
  <si>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</si>
  <si>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</si>
  <si>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Order AMT</t>
  </si>
  <si>
    <t>MIN ORDER VALUE</t>
  </si>
  <si>
    <t>MAX ORDER VALUE</t>
  </si>
  <si>
    <t>AVG ORDER VALUE</t>
  </si>
  <si>
    <t>Cuisine</t>
  </si>
  <si>
    <t>Orders</t>
  </si>
  <si>
    <t>Indian</t>
  </si>
  <si>
    <t>Chinese</t>
  </si>
  <si>
    <t>Italian</t>
  </si>
  <si>
    <t>Mexican</t>
  </si>
  <si>
    <t>Continental</t>
  </si>
  <si>
    <t>Month</t>
  </si>
  <si>
    <t>Total Orders</t>
  </si>
  <si>
    <t>January</t>
  </si>
  <si>
    <t>February</t>
  </si>
  <si>
    <t>March</t>
  </si>
  <si>
    <t>April</t>
  </si>
  <si>
    <t>May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</si>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</sst>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CUISINE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DATA!$F$1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FA-4345-B937-0003920A9E2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FA-4345-B937-0003920A9E2A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FA-4345-B937-0003920A9E2A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FA-4345-B937-0003920A9E2A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FA-4345-B937-0003920A9E2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DATA!$E$2:$E$6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Continental</c:v>
                </c:pt>
              </c:strCache>
            </c:strRef>
          </c:cat>
          <c:val>
            <c:numRef>
              <c:f>DATA!$F$2:$F$6</c:f>
              <c:numCache>
                <c:formatCode>General</c:formatCode>
                <c:ptCount val="5"/>
                <c:pt idx="0">
                  <c:v>35</c:v>
                </c:pt>
                <c:pt idx="1">
                  <c:v>25</c:v>
                </c:pt>
                <c:pt idx="2">
                  <c:v>20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FA-4345-B937-0003920A9E2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CUISINE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DATA!$F$1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CC-4003-8167-90F283A24561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CC-4003-8167-90F283A24561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CC-4003-8167-90F283A24561}"/>
              </c:ext>
            </c:extLst>
          </c:dPt>
          <c:dPt>
            <c:idx val="3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DCC-4003-8167-90F283A24561}"/>
              </c:ext>
            </c:extLst>
          </c:dPt>
          <c:dPt>
            <c:idx val="4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DCC-4003-8167-90F283A2456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DATA!$E$2:$E$6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Continental</c:v>
                </c:pt>
              </c:strCache>
            </c:strRef>
          </c:cat>
          <c:val>
            <c:numRef>
              <c:f>DATA!$F$2:$F$6</c:f>
              <c:numCache>
                <c:formatCode>General</c:formatCode>
                <c:ptCount val="5"/>
                <c:pt idx="0">
                  <c:v>35</c:v>
                </c:pt>
                <c:pt idx="1">
                  <c:v>25</c:v>
                </c:pt>
                <c:pt idx="2">
                  <c:v>20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F-4F93-AF05-073AAB91500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MONTHLY CHARGES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MONTHLY CHARGES</a:t>
          </a:r>
        </a:p>
      </cx:txPr>
    </cx:title>
    <cx:plotArea>
      <cx:plotAreaRegion>
        <cx:series layoutId="waterfall" uniqueId="{00000000-26C4-45D5-808D-E877988FCD8A}">
          <cx:tx>
            <cx:txData>
              <cx:f>_xlchart.v1.1</cx:f>
              <cx:v>Total Orders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MONTHLY CHARGES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MONTHLY CHARGES</a:t>
          </a:r>
        </a:p>
      </cx:txPr>
    </cx:title>
    <cx:plotArea>
      <cx:plotAreaRegion>
        <cx:series layoutId="waterfall" uniqueId="{00000000-26C4-45D5-808D-E877988FCD8A}">
          <cx:tx>
            <cx:txData>
              <cx:f>_xlchart.v1.4</cx:f>
              <cx:v>Total Orders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5</xdr:row>
      <xdr:rowOff>76200</xdr:rowOff>
    </xdr:from>
    <xdr:to>
      <xdr:col>9</xdr:col>
      <xdr:colOff>129540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B0FB2-E5C4-4AB9-87B4-672DB441A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335280</xdr:colOff>
      <xdr:row>5</xdr:row>
      <xdr:rowOff>129540</xdr:rowOff>
    </xdr:from>
    <xdr:to>
      <xdr:col>14</xdr:col>
      <xdr:colOff>510540</xdr:colOff>
      <xdr:row>16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6A4FC8-0C54-48D6-938E-886E61ADEE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2220" y="1043940"/>
              <a:ext cx="322326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7</xdr:row>
      <xdr:rowOff>167640</xdr:rowOff>
    </xdr:from>
    <xdr:to>
      <xdr:col>9</xdr:col>
      <xdr:colOff>91440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06168-8733-8537-7CF7-4AD13AEF6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</xdr:colOff>
      <xdr:row>5</xdr:row>
      <xdr:rowOff>41910</xdr:rowOff>
    </xdr:from>
    <xdr:to>
      <xdr:col>16</xdr:col>
      <xdr:colOff>419100</xdr:colOff>
      <xdr:row>19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F530224-AEBC-56CE-1B09-3D3CE7F7DE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9340" y="1139190"/>
              <a:ext cx="40233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33D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C1" sqref="C1:C1048576"/>
    </sheetView>
  </sheetViews>
  <sheetFormatPr defaultRowHeight="14.4" x14ac:dyDescent="0.3"/>
  <cols>
    <col min="2" max="2" width="14" customWidth="1"/>
    <col min="3" max="3" width="29" customWidth="1"/>
    <col min="4" max="4" width="12.6640625" customWidth="1"/>
    <col min="6" max="6" width="9.109375" customWidth="1"/>
    <col min="8" max="8" width="14.33203125" customWidth="1"/>
  </cols>
  <sheetData>
    <row r="1" spans="1:8" x14ac:dyDescent="0.3">
      <c r="A1" t="s">
        <v>0</v>
      </c>
      <c r="B1" t="s">
        <v>1</v>
      </c>
      <c r="C1" t="s">
        <v>2</v>
      </c>
      <c r="F1" t="s">
        <v>2</v>
      </c>
    </row>
    <row r="2" spans="1:8" x14ac:dyDescent="0.3">
      <c r="A2" t="s">
        <v>3</v>
      </c>
      <c r="B2" t="s">
        <v>4</v>
      </c>
      <c r="C2" t="s">
        <v>55</v>
      </c>
      <c r="D2" t="s">
        <v>56</v>
      </c>
      <c r="E2" t="s">
        <v>57</v>
      </c>
      <c r="F2" t="s">
        <v>95</v>
      </c>
      <c r="G2" t="s">
        <v>96</v>
      </c>
      <c r="H2" t="s">
        <v>97</v>
      </c>
    </row>
    <row r="3" spans="1:8" x14ac:dyDescent="0.3">
      <c r="A3" t="s">
        <v>5</v>
      </c>
      <c r="B3" t="s">
        <v>6</v>
      </c>
      <c r="C3" t="s">
        <v>58</v>
      </c>
      <c r="D3" t="s">
        <v>59</v>
      </c>
      <c r="E3" t="s">
        <v>57</v>
      </c>
      <c r="F3">
        <v>24</v>
      </c>
      <c r="G3" t="s">
        <v>98</v>
      </c>
      <c r="H3" t="s">
        <v>99</v>
      </c>
    </row>
    <row r="4" spans="1:8" x14ac:dyDescent="0.3">
      <c r="A4" t="s">
        <v>7</v>
      </c>
      <c r="B4" t="s">
        <v>8</v>
      </c>
      <c r="C4" t="s">
        <v>60</v>
      </c>
      <c r="D4" t="s">
        <v>61</v>
      </c>
      <c r="E4" t="s">
        <v>57</v>
      </c>
      <c r="F4">
        <v>15</v>
      </c>
      <c r="G4" t="s">
        <v>100</v>
      </c>
      <c r="H4" t="s">
        <v>101</v>
      </c>
    </row>
    <row r="5" spans="1:8" x14ac:dyDescent="0.3">
      <c r="A5" t="s">
        <v>9</v>
      </c>
      <c r="B5" t="s">
        <v>10</v>
      </c>
      <c r="C5" t="s">
        <v>62</v>
      </c>
      <c r="D5" t="s">
        <v>63</v>
      </c>
      <c r="E5" t="s">
        <v>57</v>
      </c>
      <c r="F5">
        <v>8</v>
      </c>
      <c r="G5" t="s">
        <v>102</v>
      </c>
      <c r="H5" t="s">
        <v>103</v>
      </c>
    </row>
    <row r="6" spans="1:8" x14ac:dyDescent="0.3">
      <c r="A6" t="s">
        <v>11</v>
      </c>
      <c r="B6" t="s">
        <v>12</v>
      </c>
      <c r="C6" t="s">
        <v>64</v>
      </c>
      <c r="D6" t="s">
        <v>65</v>
      </c>
      <c r="E6" t="s">
        <v>57</v>
      </c>
      <c r="F6">
        <v>32</v>
      </c>
      <c r="G6" t="s">
        <v>104</v>
      </c>
      <c r="H6" t="s">
        <v>105</v>
      </c>
    </row>
    <row r="7" spans="1:8" x14ac:dyDescent="0.3">
      <c r="A7" t="s">
        <v>13</v>
      </c>
      <c r="B7" t="s">
        <v>14</v>
      </c>
      <c r="C7" t="s">
        <v>66</v>
      </c>
      <c r="D7" t="s">
        <v>67</v>
      </c>
      <c r="E7" t="s">
        <v>57</v>
      </c>
      <c r="F7">
        <v>17</v>
      </c>
      <c r="G7" t="s">
        <v>106</v>
      </c>
      <c r="H7" t="s">
        <v>107</v>
      </c>
    </row>
    <row r="8" spans="1:8" x14ac:dyDescent="0.3">
      <c r="A8" t="s">
        <v>15</v>
      </c>
      <c r="B8" t="s">
        <v>16</v>
      </c>
      <c r="C8" t="s">
        <v>68</v>
      </c>
      <c r="D8" t="s">
        <v>69</v>
      </c>
      <c r="E8" t="s">
        <v>57</v>
      </c>
      <c r="F8">
        <v>45</v>
      </c>
      <c r="G8" t="s">
        <v>108</v>
      </c>
      <c r="H8" t="s">
        <v>109</v>
      </c>
    </row>
    <row r="9" spans="1:8" x14ac:dyDescent="0.3">
      <c r="A9" t="s">
        <v>17</v>
      </c>
      <c r="B9" t="s">
        <v>18</v>
      </c>
      <c r="C9" t="s">
        <v>70</v>
      </c>
      <c r="D9" t="s">
        <v>71</v>
      </c>
      <c r="E9" t="s">
        <v>57</v>
      </c>
      <c r="F9">
        <v>9</v>
      </c>
      <c r="G9" t="s">
        <v>96</v>
      </c>
      <c r="H9" t="s">
        <v>110</v>
      </c>
    </row>
    <row r="10" spans="1:8" x14ac:dyDescent="0.3">
      <c r="A10" t="s">
        <v>19</v>
      </c>
      <c r="B10" t="s">
        <v>20</v>
      </c>
      <c r="C10" t="s">
        <v>72</v>
      </c>
      <c r="D10" t="s">
        <v>73</v>
      </c>
      <c r="E10" t="s">
        <v>57</v>
      </c>
      <c r="F10">
        <v>21</v>
      </c>
      <c r="G10" t="s">
        <v>111</v>
      </c>
      <c r="H10" t="s">
        <v>99</v>
      </c>
    </row>
    <row r="11" spans="1:8" x14ac:dyDescent="0.3">
      <c r="A11" t="s">
        <v>21</v>
      </c>
      <c r="B11" t="s">
        <v>22</v>
      </c>
      <c r="C11" t="s">
        <v>74</v>
      </c>
      <c r="D11" t="s">
        <v>75</v>
      </c>
      <c r="E11" t="s">
        <v>57</v>
      </c>
      <c r="F11">
        <v>6</v>
      </c>
      <c r="G11" t="s">
        <v>100</v>
      </c>
      <c r="H11" t="s">
        <v>112</v>
      </c>
    </row>
    <row r="12" spans="1:8" x14ac:dyDescent="0.3">
      <c r="A12" t="s">
        <v>23</v>
      </c>
      <c r="B12" t="s">
        <v>24</v>
      </c>
      <c r="C12" t="s">
        <v>76</v>
      </c>
      <c r="D12" t="s">
        <v>77</v>
      </c>
      <c r="E12" t="s">
        <v>57</v>
      </c>
      <c r="F12">
        <v>18</v>
      </c>
      <c r="G12" t="s">
        <v>113</v>
      </c>
      <c r="H12" t="s">
        <v>97</v>
      </c>
    </row>
    <row r="13" spans="1:8" x14ac:dyDescent="0.3">
      <c r="A13" t="s">
        <v>25</v>
      </c>
      <c r="B13" t="s">
        <v>26</v>
      </c>
      <c r="C13" t="s">
        <v>78</v>
      </c>
      <c r="D13" t="s">
        <v>79</v>
      </c>
      <c r="E13" t="s">
        <v>57</v>
      </c>
      <c r="F13">
        <v>27</v>
      </c>
      <c r="G13" t="s">
        <v>102</v>
      </c>
      <c r="H13" t="s">
        <v>114</v>
      </c>
    </row>
    <row r="14" spans="1:8" x14ac:dyDescent="0.3">
      <c r="A14" t="s">
        <v>27</v>
      </c>
      <c r="B14" t="s">
        <v>28</v>
      </c>
      <c r="C14" t="s">
        <v>80</v>
      </c>
      <c r="D14" t="s">
        <v>81</v>
      </c>
      <c r="E14" t="s">
        <v>57</v>
      </c>
      <c r="F14">
        <v>11</v>
      </c>
      <c r="G14" t="s">
        <v>115</v>
      </c>
      <c r="H14" t="s">
        <v>105</v>
      </c>
    </row>
    <row r="15" spans="1:8" x14ac:dyDescent="0.3">
      <c r="A15" t="s">
        <v>29</v>
      </c>
      <c r="B15" t="s">
        <v>30</v>
      </c>
      <c r="C15" t="s">
        <v>82</v>
      </c>
      <c r="D15" t="s">
        <v>83</v>
      </c>
      <c r="E15" t="s">
        <v>57</v>
      </c>
      <c r="F15">
        <v>33</v>
      </c>
      <c r="G15" t="s">
        <v>108</v>
      </c>
      <c r="H15" t="s">
        <v>99</v>
      </c>
    </row>
    <row r="16" spans="1:8" x14ac:dyDescent="0.3">
      <c r="A16" t="s">
        <v>31</v>
      </c>
      <c r="B16" t="s">
        <v>32</v>
      </c>
      <c r="C16" t="s">
        <v>84</v>
      </c>
      <c r="D16" t="s">
        <v>85</v>
      </c>
      <c r="E16" t="s">
        <v>57</v>
      </c>
      <c r="F16">
        <v>5</v>
      </c>
      <c r="G16" t="s">
        <v>116</v>
      </c>
      <c r="H16" t="s">
        <v>109</v>
      </c>
    </row>
    <row r="17" spans="1:8" x14ac:dyDescent="0.3">
      <c r="A17" t="s">
        <v>33</v>
      </c>
      <c r="B17" t="s">
        <v>41</v>
      </c>
      <c r="C17" t="s">
        <v>86</v>
      </c>
      <c r="D17" t="s">
        <v>73</v>
      </c>
      <c r="E17" t="s">
        <v>57</v>
      </c>
      <c r="F17">
        <v>7</v>
      </c>
      <c r="G17" t="s">
        <v>108</v>
      </c>
      <c r="H17" t="s">
        <v>109</v>
      </c>
    </row>
    <row r="18" spans="1:8" x14ac:dyDescent="0.3">
      <c r="A18" t="s">
        <v>34</v>
      </c>
      <c r="B18" t="s">
        <v>43</v>
      </c>
      <c r="C18" t="s">
        <v>87</v>
      </c>
      <c r="D18" t="s">
        <v>61</v>
      </c>
      <c r="E18" t="s">
        <v>57</v>
      </c>
      <c r="F18">
        <v>19</v>
      </c>
      <c r="G18" t="s">
        <v>100</v>
      </c>
      <c r="H18" t="s">
        <v>112</v>
      </c>
    </row>
    <row r="19" spans="1:8" x14ac:dyDescent="0.3">
      <c r="A19" t="s">
        <v>35</v>
      </c>
      <c r="B19" t="s">
        <v>45</v>
      </c>
      <c r="C19" t="s">
        <v>88</v>
      </c>
      <c r="D19" t="s">
        <v>79</v>
      </c>
      <c r="E19" t="s">
        <v>57</v>
      </c>
      <c r="F19">
        <v>31</v>
      </c>
      <c r="G19" t="s">
        <v>96</v>
      </c>
      <c r="H19" t="s">
        <v>110</v>
      </c>
    </row>
    <row r="20" spans="1:8" x14ac:dyDescent="0.3">
      <c r="A20" t="s">
        <v>36</v>
      </c>
      <c r="B20" t="s">
        <v>47</v>
      </c>
      <c r="C20" t="s">
        <v>89</v>
      </c>
      <c r="D20" t="s">
        <v>67</v>
      </c>
      <c r="E20" t="s">
        <v>57</v>
      </c>
      <c r="F20">
        <v>10</v>
      </c>
      <c r="G20" t="s">
        <v>102</v>
      </c>
      <c r="H20" t="s">
        <v>114</v>
      </c>
    </row>
    <row r="21" spans="1:8" x14ac:dyDescent="0.3">
      <c r="A21" t="s">
        <v>38</v>
      </c>
      <c r="B21" t="s">
        <v>49</v>
      </c>
      <c r="C21" t="s">
        <v>90</v>
      </c>
      <c r="D21" t="s">
        <v>77</v>
      </c>
      <c r="E21" t="s">
        <v>57</v>
      </c>
      <c r="F21">
        <v>16</v>
      </c>
      <c r="G21" t="s">
        <v>113</v>
      </c>
      <c r="H21" t="s">
        <v>97</v>
      </c>
    </row>
    <row r="22" spans="1:8" x14ac:dyDescent="0.3">
      <c r="A22" t="s">
        <v>40</v>
      </c>
      <c r="B22" t="s">
        <v>53</v>
      </c>
      <c r="C22" t="s">
        <v>91</v>
      </c>
      <c r="D22" t="s">
        <v>71</v>
      </c>
      <c r="E22" t="s">
        <v>57</v>
      </c>
      <c r="F22">
        <v>28</v>
      </c>
      <c r="G22" t="s">
        <v>115</v>
      </c>
      <c r="H22" t="s">
        <v>105</v>
      </c>
    </row>
    <row r="23" spans="1:8" x14ac:dyDescent="0.3">
      <c r="A23" t="s">
        <v>42</v>
      </c>
      <c r="B23" t="s">
        <v>54</v>
      </c>
      <c r="C23" t="s">
        <v>92</v>
      </c>
      <c r="D23" t="s">
        <v>75</v>
      </c>
      <c r="E23" t="s">
        <v>57</v>
      </c>
      <c r="F23">
        <v>4</v>
      </c>
      <c r="G23" t="s">
        <v>116</v>
      </c>
      <c r="H23" t="s">
        <v>109</v>
      </c>
    </row>
    <row r="24" spans="1:8" x14ac:dyDescent="0.3">
      <c r="A24" t="s">
        <v>44</v>
      </c>
      <c r="B24" t="s">
        <v>18</v>
      </c>
      <c r="C24" t="s">
        <v>70</v>
      </c>
      <c r="D24" t="s">
        <v>71</v>
      </c>
      <c r="E24" t="s">
        <v>57</v>
      </c>
      <c r="F24">
        <v>9</v>
      </c>
      <c r="G24" t="s">
        <v>96</v>
      </c>
      <c r="H24" t="s">
        <v>110</v>
      </c>
    </row>
    <row r="25" spans="1:8" x14ac:dyDescent="0.3">
      <c r="A25" t="s">
        <v>46</v>
      </c>
      <c r="B25" t="s">
        <v>4</v>
      </c>
      <c r="C25" t="s">
        <v>55</v>
      </c>
      <c r="D25" t="s">
        <v>56</v>
      </c>
      <c r="E25" t="s">
        <v>57</v>
      </c>
      <c r="F25" t="s">
        <v>95</v>
      </c>
      <c r="G25" t="s">
        <v>96</v>
      </c>
      <c r="H25" t="s">
        <v>97</v>
      </c>
    </row>
    <row r="26" spans="1:8" x14ac:dyDescent="0.3">
      <c r="A26" t="s">
        <v>48</v>
      </c>
      <c r="B26" t="s">
        <v>6</v>
      </c>
      <c r="C26" t="s">
        <v>58</v>
      </c>
      <c r="D26" t="s">
        <v>59</v>
      </c>
      <c r="E26" t="s">
        <v>57</v>
      </c>
      <c r="F26">
        <v>24</v>
      </c>
      <c r="G26" t="s">
        <v>98</v>
      </c>
      <c r="H26" t="s">
        <v>99</v>
      </c>
    </row>
    <row r="27" spans="1:8" x14ac:dyDescent="0.3">
      <c r="A27" t="s">
        <v>50</v>
      </c>
      <c r="B27" t="s">
        <v>37</v>
      </c>
      <c r="C27" t="s">
        <v>93</v>
      </c>
      <c r="D27" t="s">
        <v>63</v>
      </c>
      <c r="E27" t="s">
        <v>57</v>
      </c>
      <c r="F27">
        <v>14</v>
      </c>
      <c r="G27" t="s">
        <v>111</v>
      </c>
      <c r="H27" t="s">
        <v>103</v>
      </c>
    </row>
    <row r="28" spans="1:8" x14ac:dyDescent="0.3">
      <c r="A28" t="s">
        <v>51</v>
      </c>
      <c r="B28" t="s">
        <v>39</v>
      </c>
      <c r="C28" t="s">
        <v>94</v>
      </c>
      <c r="D28" t="s">
        <v>69</v>
      </c>
      <c r="E28" t="s">
        <v>57</v>
      </c>
      <c r="F28">
        <v>22</v>
      </c>
      <c r="G28" t="s">
        <v>104</v>
      </c>
      <c r="H28" t="s">
        <v>99</v>
      </c>
    </row>
    <row r="29" spans="1:8" x14ac:dyDescent="0.3">
      <c r="A29" t="s">
        <v>52</v>
      </c>
      <c r="B29" t="s">
        <v>24</v>
      </c>
      <c r="C29" t="s">
        <v>76</v>
      </c>
      <c r="D29" t="s">
        <v>77</v>
      </c>
      <c r="E29" t="s">
        <v>57</v>
      </c>
      <c r="F29">
        <v>18</v>
      </c>
      <c r="G29" t="s">
        <v>113</v>
      </c>
      <c r="H29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6A4D-6089-425D-BB30-3AF3CF84B27E}">
  <dimension ref="A1:L12"/>
  <sheetViews>
    <sheetView workbookViewId="0">
      <selection activeCell="L10" sqref="L10"/>
    </sheetView>
  </sheetViews>
  <sheetFormatPr defaultRowHeight="14.4" x14ac:dyDescent="0.3"/>
  <cols>
    <col min="8" max="8" width="18.109375" customWidth="1"/>
    <col min="9" max="9" width="16" customWidth="1"/>
    <col min="11" max="11" width="14.88671875" customWidth="1"/>
    <col min="12" max="12" width="28" customWidth="1"/>
  </cols>
  <sheetData>
    <row r="1" spans="1:12" x14ac:dyDescent="0.3">
      <c r="A1" s="8" t="s">
        <v>139</v>
      </c>
      <c r="B1" s="8"/>
      <c r="C1" s="8"/>
      <c r="D1" s="8"/>
      <c r="H1" t="s">
        <v>140</v>
      </c>
      <c r="K1" t="s">
        <v>142</v>
      </c>
    </row>
    <row r="2" spans="1:12" x14ac:dyDescent="0.3">
      <c r="A2" s="8" t="s">
        <v>117</v>
      </c>
      <c r="B2" s="8"/>
      <c r="C2" s="8"/>
      <c r="D2" t="s">
        <v>128</v>
      </c>
      <c r="H2" t="s">
        <v>141</v>
      </c>
      <c r="K2" t="s">
        <v>143</v>
      </c>
      <c r="L2" t="s">
        <v>144</v>
      </c>
    </row>
    <row r="3" spans="1:12" x14ac:dyDescent="0.3">
      <c r="A3" t="s">
        <v>118</v>
      </c>
      <c r="D3" t="s">
        <v>129</v>
      </c>
      <c r="H3">
        <v>9976543210</v>
      </c>
      <c r="K3" t="s">
        <v>145</v>
      </c>
      <c r="L3" t="s">
        <v>155</v>
      </c>
    </row>
    <row r="4" spans="1:12" x14ac:dyDescent="0.3">
      <c r="A4" t="s">
        <v>119</v>
      </c>
      <c r="D4" t="s">
        <v>130</v>
      </c>
      <c r="H4">
        <v>9912345678</v>
      </c>
      <c r="K4" t="s">
        <v>146</v>
      </c>
      <c r="L4" t="e">
        <f>AVERAGE(L13)</f>
        <v>#DIV/0!</v>
      </c>
    </row>
    <row r="5" spans="1:12" x14ac:dyDescent="0.3">
      <c r="A5" t="s">
        <v>120</v>
      </c>
      <c r="D5" t="s">
        <v>131</v>
      </c>
      <c r="H5">
        <v>9123456789</v>
      </c>
      <c r="K5" t="s">
        <v>147</v>
      </c>
      <c r="L5" t="s">
        <v>154</v>
      </c>
    </row>
    <row r="6" spans="1:12" x14ac:dyDescent="0.3">
      <c r="A6" t="s">
        <v>121</v>
      </c>
      <c r="D6" t="s">
        <v>132</v>
      </c>
      <c r="H6">
        <v>9999765432</v>
      </c>
      <c r="K6" t="s">
        <v>148</v>
      </c>
      <c r="L6" t="s">
        <v>152</v>
      </c>
    </row>
    <row r="7" spans="1:12" x14ac:dyDescent="0.3">
      <c r="A7" t="s">
        <v>122</v>
      </c>
      <c r="D7" t="s">
        <v>133</v>
      </c>
      <c r="H7">
        <v>9712345678</v>
      </c>
      <c r="K7" t="s">
        <v>149</v>
      </c>
      <c r="L7" t="s">
        <v>153</v>
      </c>
    </row>
    <row r="8" spans="1:12" x14ac:dyDescent="0.3">
      <c r="A8" t="s">
        <v>123</v>
      </c>
      <c r="D8" t="s">
        <v>134</v>
      </c>
      <c r="H8">
        <v>9923456789</v>
      </c>
      <c r="K8" t="s">
        <v>150</v>
      </c>
      <c r="L8" t="s">
        <v>151</v>
      </c>
    </row>
    <row r="9" spans="1:12" x14ac:dyDescent="0.3">
      <c r="A9" t="s">
        <v>124</v>
      </c>
      <c r="D9" t="s">
        <v>135</v>
      </c>
      <c r="H9">
        <v>9012345678</v>
      </c>
    </row>
    <row r="10" spans="1:12" x14ac:dyDescent="0.3">
      <c r="A10" t="s">
        <v>125</v>
      </c>
      <c r="D10" t="s">
        <v>136</v>
      </c>
      <c r="H10">
        <v>9965432109</v>
      </c>
    </row>
    <row r="11" spans="1:12" x14ac:dyDescent="0.3">
      <c r="A11" t="s">
        <v>126</v>
      </c>
      <c r="D11" t="s">
        <v>137</v>
      </c>
      <c r="H11">
        <v>9512345678</v>
      </c>
    </row>
    <row r="12" spans="1:12" x14ac:dyDescent="0.3">
      <c r="A12" t="s">
        <v>127</v>
      </c>
      <c r="D12" t="s">
        <v>138</v>
      </c>
      <c r="H12">
        <v>9912345678</v>
      </c>
    </row>
  </sheetData>
  <mergeCells count="2">
    <mergeCell ref="A2:C2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296E-82D9-4F44-A055-F6D52A8661F4}">
  <dimension ref="A1:N23"/>
  <sheetViews>
    <sheetView tabSelected="1" workbookViewId="0">
      <selection activeCell="E17" sqref="E17"/>
    </sheetView>
  </sheetViews>
  <sheetFormatPr defaultRowHeight="14.4" x14ac:dyDescent="0.3"/>
  <cols>
    <col min="2" max="2" width="16.33203125" customWidth="1"/>
  </cols>
  <sheetData>
    <row r="1" spans="1:14" ht="14.4" customHeight="1" x14ac:dyDescent="0.3">
      <c r="A1" s="5" t="s">
        <v>156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5" spans="1:14" x14ac:dyDescent="0.3">
      <c r="B5" s="7" t="s">
        <v>157</v>
      </c>
      <c r="C5" s="7"/>
      <c r="G5" s="6" t="s">
        <v>158</v>
      </c>
      <c r="H5" s="6"/>
      <c r="I5" s="6"/>
      <c r="J5" s="6"/>
      <c r="K5" s="6"/>
      <c r="L5" s="6"/>
    </row>
    <row r="6" spans="1:14" x14ac:dyDescent="0.3">
      <c r="B6" s="2" t="s">
        <v>180</v>
      </c>
      <c r="C6" s="2">
        <f>MIN(DATA!B2:B21)</f>
        <v>300</v>
      </c>
    </row>
    <row r="7" spans="1:14" x14ac:dyDescent="0.3">
      <c r="B7" s="2" t="s">
        <v>181</v>
      </c>
      <c r="C7" s="2">
        <f>MAX(DATA!B2:B21)</f>
        <v>1250</v>
      </c>
    </row>
    <row r="8" spans="1:14" x14ac:dyDescent="0.3">
      <c r="B8" s="2" t="s">
        <v>182</v>
      </c>
      <c r="C8" s="2">
        <f>AVERAGE(DATA!B2:B21)</f>
        <v>725</v>
      </c>
    </row>
    <row r="14" spans="1:14" x14ac:dyDescent="0.3">
      <c r="B14" s="1"/>
      <c r="J14" s="1"/>
    </row>
    <row r="23" spans="10:10" x14ac:dyDescent="0.3">
      <c r="J23" s="1"/>
    </row>
  </sheetData>
  <mergeCells count="3">
    <mergeCell ref="A1:N2"/>
    <mergeCell ref="G5:L5"/>
    <mergeCell ref="B5:C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2DD4-58FD-4E0A-A923-954DF2D1C771}">
  <dimension ref="A1:L21"/>
  <sheetViews>
    <sheetView workbookViewId="0">
      <selection activeCell="R4" sqref="R4"/>
    </sheetView>
  </sheetViews>
  <sheetFormatPr defaultRowHeight="14.4" x14ac:dyDescent="0.3"/>
  <sheetData>
    <row r="1" spans="1:12" ht="28.8" x14ac:dyDescent="0.3">
      <c r="A1" t="s">
        <v>0</v>
      </c>
      <c r="B1" t="s">
        <v>179</v>
      </c>
      <c r="E1" s="3" t="s">
        <v>183</v>
      </c>
      <c r="F1" s="3" t="s">
        <v>184</v>
      </c>
      <c r="K1" s="3" t="s">
        <v>190</v>
      </c>
      <c r="L1" s="3" t="s">
        <v>191</v>
      </c>
    </row>
    <row r="2" spans="1:12" x14ac:dyDescent="0.3">
      <c r="A2" t="s">
        <v>159</v>
      </c>
      <c r="B2">
        <v>450</v>
      </c>
      <c r="E2" s="4" t="s">
        <v>185</v>
      </c>
      <c r="F2" s="4">
        <v>35</v>
      </c>
      <c r="K2" s="4" t="s">
        <v>192</v>
      </c>
      <c r="L2" s="4">
        <v>1200</v>
      </c>
    </row>
    <row r="3" spans="1:12" x14ac:dyDescent="0.3">
      <c r="A3" t="s">
        <v>160</v>
      </c>
      <c r="B3">
        <v>800</v>
      </c>
      <c r="E3" s="4" t="s">
        <v>186</v>
      </c>
      <c r="F3" s="4">
        <v>25</v>
      </c>
      <c r="K3" s="4" t="s">
        <v>193</v>
      </c>
      <c r="L3" s="4">
        <v>1350</v>
      </c>
    </row>
    <row r="4" spans="1:12" x14ac:dyDescent="0.3">
      <c r="A4" t="s">
        <v>161</v>
      </c>
      <c r="B4">
        <v>650</v>
      </c>
      <c r="E4" s="4" t="s">
        <v>187</v>
      </c>
      <c r="F4" s="4">
        <v>20</v>
      </c>
      <c r="K4" s="4" t="s">
        <v>194</v>
      </c>
      <c r="L4" s="4">
        <v>1280</v>
      </c>
    </row>
    <row r="5" spans="1:12" x14ac:dyDescent="0.3">
      <c r="A5" t="s">
        <v>162</v>
      </c>
      <c r="B5">
        <v>1200</v>
      </c>
      <c r="E5" s="4" t="s">
        <v>188</v>
      </c>
      <c r="F5" s="4">
        <v>12</v>
      </c>
      <c r="K5" s="4" t="s">
        <v>195</v>
      </c>
      <c r="L5" s="4">
        <v>1500</v>
      </c>
    </row>
    <row r="6" spans="1:12" ht="28.8" x14ac:dyDescent="0.3">
      <c r="A6" t="s">
        <v>163</v>
      </c>
      <c r="B6">
        <v>550</v>
      </c>
      <c r="E6" s="4" t="s">
        <v>189</v>
      </c>
      <c r="F6" s="4">
        <v>8</v>
      </c>
      <c r="K6" s="4" t="s">
        <v>196</v>
      </c>
      <c r="L6" s="4">
        <v>1420</v>
      </c>
    </row>
    <row r="7" spans="1:12" x14ac:dyDescent="0.3">
      <c r="A7" t="s">
        <v>164</v>
      </c>
      <c r="B7">
        <v>950</v>
      </c>
      <c r="K7" s="4" t="s">
        <v>197</v>
      </c>
      <c r="L7" s="4">
        <v>1650</v>
      </c>
    </row>
    <row r="8" spans="1:12" x14ac:dyDescent="0.3">
      <c r="A8" t="s">
        <v>165</v>
      </c>
      <c r="B8">
        <v>300</v>
      </c>
      <c r="K8" s="4" t="s">
        <v>198</v>
      </c>
      <c r="L8" s="4">
        <v>1580</v>
      </c>
    </row>
    <row r="9" spans="1:12" x14ac:dyDescent="0.3">
      <c r="A9" t="s">
        <v>166</v>
      </c>
      <c r="B9">
        <v>750</v>
      </c>
    </row>
    <row r="10" spans="1:12" x14ac:dyDescent="0.3">
      <c r="A10" t="s">
        <v>167</v>
      </c>
      <c r="B10">
        <v>1100</v>
      </c>
    </row>
    <row r="11" spans="1:12" x14ac:dyDescent="0.3">
      <c r="A11" t="s">
        <v>168</v>
      </c>
      <c r="B11">
        <v>600</v>
      </c>
    </row>
    <row r="12" spans="1:12" x14ac:dyDescent="0.3">
      <c r="A12" t="s">
        <v>169</v>
      </c>
      <c r="B12">
        <v>850</v>
      </c>
    </row>
    <row r="13" spans="1:12" x14ac:dyDescent="0.3">
      <c r="A13" t="s">
        <v>170</v>
      </c>
      <c r="B13">
        <v>400</v>
      </c>
    </row>
    <row r="14" spans="1:12" x14ac:dyDescent="0.3">
      <c r="A14" t="s">
        <v>171</v>
      </c>
      <c r="B14">
        <v>700</v>
      </c>
    </row>
    <row r="15" spans="1:12" x14ac:dyDescent="0.3">
      <c r="A15" t="s">
        <v>172</v>
      </c>
      <c r="B15">
        <v>500</v>
      </c>
    </row>
    <row r="16" spans="1:12" x14ac:dyDescent="0.3">
      <c r="A16" t="s">
        <v>173</v>
      </c>
      <c r="B16">
        <v>1000</v>
      </c>
    </row>
    <row r="17" spans="1:2" x14ac:dyDescent="0.3">
      <c r="A17" t="s">
        <v>174</v>
      </c>
      <c r="B17">
        <v>350</v>
      </c>
    </row>
    <row r="18" spans="1:2" x14ac:dyDescent="0.3">
      <c r="A18" t="s">
        <v>175</v>
      </c>
      <c r="B18">
        <v>900</v>
      </c>
    </row>
    <row r="19" spans="1:2" x14ac:dyDescent="0.3">
      <c r="A19" t="s">
        <v>176</v>
      </c>
      <c r="B19">
        <v>1250</v>
      </c>
    </row>
    <row r="20" spans="1:2" x14ac:dyDescent="0.3">
      <c r="A20" t="s">
        <v>177</v>
      </c>
      <c r="B20">
        <v>480</v>
      </c>
    </row>
    <row r="21" spans="1:2" x14ac:dyDescent="0.3">
      <c r="A21" t="s">
        <v>178</v>
      </c>
      <c r="B21">
        <v>720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SESSION16(2)_TASK1-2</vt:lpstr>
      <vt:lpstr>TASK3_5</vt:lpstr>
      <vt:lpstr>SESSION19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Shah</dc:creator>
  <cp:lastModifiedBy>Diya Shah</cp:lastModifiedBy>
  <dcterms:created xsi:type="dcterms:W3CDTF">2015-06-05T18:17:20Z</dcterms:created>
  <dcterms:modified xsi:type="dcterms:W3CDTF">2026-08-31T17:37:55Z</dcterms:modified>
</cp:coreProperties>
</file>